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CMS\ProfitPortal\"/>
    </mc:Choice>
  </mc:AlternateContent>
  <xr:revisionPtr revIDLastSave="0" documentId="13_ncr:1_{DAB229A4-F431-45A8-89C1-F3B42DB34B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 2026-27 Projection" sheetId="1" r:id="rId1"/>
    <sheet name="Sheet1" sheetId="2" r:id="rId2"/>
    <sheet name="2026 Crop Season Pric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55" i="2" l="1"/>
  <c r="BX40" i="2"/>
  <c r="BL40" i="2"/>
  <c r="AZ40" i="2"/>
  <c r="AN40" i="2"/>
  <c r="AB40" i="2"/>
  <c r="O50" i="1"/>
  <c r="N50" i="1"/>
  <c r="M50" i="1"/>
  <c r="L50" i="1"/>
  <c r="K50" i="1"/>
  <c r="J50" i="1"/>
  <c r="I50" i="1"/>
  <c r="H50" i="1"/>
  <c r="G50" i="1"/>
  <c r="F50" i="1"/>
  <c r="E50" i="1"/>
  <c r="D50" i="1"/>
  <c r="P50" i="1" s="1"/>
  <c r="P48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P44" i="1"/>
  <c r="O42" i="1"/>
  <c r="N42" i="1"/>
  <c r="M42" i="1"/>
  <c r="L42" i="1"/>
  <c r="K42" i="1"/>
  <c r="J42" i="1"/>
  <c r="I42" i="1"/>
  <c r="H42" i="1"/>
  <c r="G42" i="1"/>
  <c r="F42" i="1"/>
  <c r="P42" i="1" s="1"/>
  <c r="E42" i="1"/>
  <c r="D42" i="1"/>
  <c r="P40" i="1"/>
  <c r="O38" i="1"/>
  <c r="N38" i="1"/>
  <c r="M38" i="1"/>
  <c r="L38" i="1"/>
  <c r="K38" i="1"/>
  <c r="J38" i="1"/>
  <c r="I38" i="1"/>
  <c r="H38" i="1"/>
  <c r="G38" i="1"/>
  <c r="F38" i="1"/>
  <c r="E38" i="1"/>
  <c r="D38" i="1"/>
  <c r="P38" i="1" s="1"/>
  <c r="P36" i="1"/>
  <c r="O34" i="1"/>
  <c r="N34" i="1"/>
  <c r="M34" i="1"/>
  <c r="L34" i="1"/>
  <c r="K34" i="1"/>
  <c r="J34" i="1"/>
  <c r="I34" i="1"/>
  <c r="H34" i="1"/>
  <c r="G34" i="1"/>
  <c r="F34" i="1"/>
  <c r="E34" i="1"/>
  <c r="D34" i="1"/>
  <c r="P34" i="1" s="1"/>
  <c r="P32" i="1"/>
  <c r="O30" i="1"/>
  <c r="N30" i="1"/>
  <c r="M30" i="1"/>
  <c r="L30" i="1"/>
  <c r="K30" i="1"/>
  <c r="J30" i="1"/>
  <c r="I30" i="1"/>
  <c r="H30" i="1"/>
  <c r="P30" i="1" s="1"/>
  <c r="G30" i="1"/>
  <c r="F30" i="1"/>
  <c r="E30" i="1"/>
  <c r="D30" i="1"/>
  <c r="P28" i="1"/>
  <c r="O26" i="1"/>
  <c r="N26" i="1"/>
  <c r="M26" i="1"/>
  <c r="L26" i="1"/>
  <c r="K26" i="1"/>
  <c r="J26" i="1"/>
  <c r="I26" i="1"/>
  <c r="H26" i="1"/>
  <c r="G26" i="1"/>
  <c r="F26" i="1"/>
  <c r="P26" i="1" s="1"/>
  <c r="E26" i="1"/>
  <c r="D26" i="1"/>
  <c r="P24" i="1"/>
  <c r="O22" i="1"/>
  <c r="N22" i="1"/>
  <c r="M22" i="1"/>
  <c r="L22" i="1"/>
  <c r="K22" i="1"/>
  <c r="J22" i="1"/>
  <c r="I22" i="1"/>
  <c r="H22" i="1"/>
  <c r="G22" i="1"/>
  <c r="F22" i="1"/>
  <c r="E22" i="1"/>
  <c r="D22" i="1"/>
  <c r="P22" i="1" s="1"/>
  <c r="P20" i="1"/>
  <c r="K18" i="1"/>
  <c r="K52" i="1" s="1"/>
  <c r="O17" i="1"/>
  <c r="N17" i="1"/>
  <c r="M17" i="1"/>
  <c r="L17" i="1"/>
  <c r="K17" i="1"/>
  <c r="J17" i="1"/>
  <c r="I17" i="1"/>
  <c r="H17" i="1"/>
  <c r="G17" i="1"/>
  <c r="F17" i="1"/>
  <c r="E17" i="1"/>
  <c r="D17" i="1"/>
  <c r="P15" i="1"/>
  <c r="O13" i="1"/>
  <c r="N13" i="1"/>
  <c r="M13" i="1"/>
  <c r="L13" i="1"/>
  <c r="K13" i="1"/>
  <c r="J13" i="1"/>
  <c r="I13" i="1"/>
  <c r="H13" i="1"/>
  <c r="G13" i="1"/>
  <c r="F13" i="1"/>
  <c r="E13" i="1"/>
  <c r="D13" i="1"/>
  <c r="P11" i="1"/>
  <c r="O9" i="1"/>
  <c r="N9" i="1"/>
  <c r="M9" i="1"/>
  <c r="L9" i="1"/>
  <c r="L18" i="1" s="1"/>
  <c r="L52" i="1" s="1"/>
  <c r="K9" i="1"/>
  <c r="J9" i="1"/>
  <c r="J18" i="1" s="1"/>
  <c r="J52" i="1" s="1"/>
  <c r="I9" i="1"/>
  <c r="H9" i="1"/>
  <c r="G9" i="1"/>
  <c r="G18" i="1" s="1"/>
  <c r="G52" i="1" s="1"/>
  <c r="F9" i="1"/>
  <c r="E9" i="1"/>
  <c r="D9" i="1"/>
  <c r="D18" i="1" s="1"/>
  <c r="P7" i="1"/>
  <c r="P17" i="1" l="1"/>
  <c r="O18" i="1"/>
  <c r="O52" i="1" s="1"/>
  <c r="O58" i="1" s="1"/>
  <c r="N18" i="1"/>
  <c r="N52" i="1" s="1"/>
  <c r="N56" i="1" s="1"/>
  <c r="M18" i="1"/>
  <c r="M52" i="1" s="1"/>
  <c r="M58" i="1" s="1"/>
  <c r="I18" i="1"/>
  <c r="I52" i="1" s="1"/>
  <c r="I57" i="1" s="1"/>
  <c r="H18" i="1"/>
  <c r="H52" i="1" s="1"/>
  <c r="H59" i="1" s="1"/>
  <c r="F18" i="1"/>
  <c r="F52" i="1" s="1"/>
  <c r="F58" i="1" s="1"/>
  <c r="E18" i="1"/>
  <c r="E52" i="1" s="1"/>
  <c r="E55" i="1" s="1"/>
  <c r="P13" i="1"/>
  <c r="L55" i="1"/>
  <c r="L58" i="1"/>
  <c r="L56" i="1"/>
  <c r="L59" i="1"/>
  <c r="L57" i="1"/>
  <c r="K55" i="1"/>
  <c r="K58" i="1"/>
  <c r="K56" i="1"/>
  <c r="K59" i="1"/>
  <c r="K57" i="1"/>
  <c r="D52" i="1"/>
  <c r="F57" i="1"/>
  <c r="F55" i="1"/>
  <c r="O56" i="1"/>
  <c r="O59" i="1"/>
  <c r="O55" i="1"/>
  <c r="M56" i="1"/>
  <c r="M59" i="1"/>
  <c r="M57" i="1"/>
  <c r="M55" i="1"/>
  <c r="G56" i="1"/>
  <c r="G59" i="1"/>
  <c r="G57" i="1"/>
  <c r="G55" i="1"/>
  <c r="G58" i="1"/>
  <c r="H57" i="1"/>
  <c r="H55" i="1"/>
  <c r="H58" i="1"/>
  <c r="H56" i="1"/>
  <c r="J57" i="1"/>
  <c r="J55" i="1"/>
  <c r="J58" i="1"/>
  <c r="J56" i="1"/>
  <c r="J59" i="1"/>
  <c r="P9" i="1"/>
  <c r="O57" i="1" l="1"/>
  <c r="I59" i="1"/>
  <c r="I60" i="1" s="1"/>
  <c r="I61" i="1" s="1"/>
  <c r="I58" i="1"/>
  <c r="I56" i="1"/>
  <c r="I55" i="1"/>
  <c r="F59" i="1"/>
  <c r="F56" i="1"/>
  <c r="F60" i="1" s="1"/>
  <c r="F61" i="1" s="1"/>
  <c r="E57" i="1"/>
  <c r="E59" i="1"/>
  <c r="E56" i="1"/>
  <c r="E58" i="1"/>
  <c r="N59" i="1"/>
  <c r="N58" i="1"/>
  <c r="P18" i="1"/>
  <c r="N55" i="1"/>
  <c r="N57" i="1"/>
  <c r="J60" i="1"/>
  <c r="J61" i="1" s="1"/>
  <c r="G60" i="1"/>
  <c r="G61" i="1" s="1"/>
  <c r="H60" i="1"/>
  <c r="H61" i="1" s="1"/>
  <c r="K60" i="1"/>
  <c r="K61" i="1" s="1"/>
  <c r="M60" i="1"/>
  <c r="M61" i="1" s="1"/>
  <c r="O60" i="1"/>
  <c r="O61" i="1" s="1"/>
  <c r="D55" i="1"/>
  <c r="D58" i="1"/>
  <c r="P52" i="1"/>
  <c r="D56" i="1"/>
  <c r="D59" i="1"/>
  <c r="D57" i="1"/>
  <c r="E60" i="1"/>
  <c r="E61" i="1" s="1"/>
  <c r="L60" i="1"/>
  <c r="L61" i="1" s="1"/>
  <c r="N60" i="1" l="1"/>
  <c r="N61" i="1" s="1"/>
  <c r="P59" i="1"/>
  <c r="P56" i="1"/>
  <c r="P58" i="1"/>
  <c r="P57" i="1"/>
  <c r="P55" i="1"/>
  <c r="D60" i="1"/>
  <c r="P60" i="1" l="1"/>
  <c r="P61" i="1" s="1"/>
  <c r="D61" i="1"/>
</calcChain>
</file>

<file path=xl/sharedStrings.xml><?xml version="1.0" encoding="utf-8"?>
<sst xmlns="http://schemas.openxmlformats.org/spreadsheetml/2006/main" count="169" uniqueCount="103">
  <si>
    <t>PRUTHASHAKTI KISAN KALYAN MISSION</t>
  </si>
  <si>
    <t>Advisory Platform  —  Revenue Projection  |  Financial Year 2026-27  (April 2026 – March 2027)</t>
  </si>
  <si>
    <t>Advisory Pricing Plans:   STARTER — ₹99/Acre/Season   |   PREMIUM — ₹299/Acre/Season   |   PLATINUM — ₹999/Acre/Season</t>
  </si>
  <si>
    <t>Sr.</t>
  </si>
  <si>
    <t>Service / Business Line</t>
  </si>
  <si>
    <t>Plan / Parameter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</si>
  <si>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</si>
  <si>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</si>
  <si>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</si>
  <si>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</si>
  <si>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</si>
  <si>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</si>
  <si>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</si>
  <si>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</si>
  <si>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</si>
  <si>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</si>
  <si>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</si>
  <si>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</si>
  <si>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FY 2026-27
Total</t>
  </si>
  <si>
    <t>1</t>
  </si>
  <si>
    <t>Advisory for Farmers</t>
  </si>
  <si>
    <t xml:space="preserve">  Starter Plan  (₹99 / Acre / Season)</t>
  </si>
  <si>
    <t xml:space="preserve">  Subscriptions (nos)</t>
  </si>
  <si>
    <t xml:space="preserve">  Rate (₹/Acre/Season)</t>
  </si>
  <si>
    <t>—</t>
  </si>
  <si>
    <t xml:space="preserve">  Revenue (₹)</t>
  </si>
  <si>
    <t xml:space="preserve">  Premium Plan  (₹299 / Acre / Season)</t>
  </si>
  <si>
    <t xml:space="preserve">  Platinum Plan  (₹999 / Acre / Season)</t>
  </si>
  <si>
    <t>Advisory Sub-Total Revenue  (Starter + Premium + Platinum)</t>
  </si>
  <si>
    <t>Websites for FPC / Vendors</t>
  </si>
  <si>
    <t xml:space="preserve">  Rate (₹/unit)</t>
  </si>
  <si>
    <t>TBD</t>
  </si>
  <si>
    <t>Vendor / FPC Registration (ERP)</t>
  </si>
  <si>
    <t>Pruthashakti Vertical Requirements</t>
  </si>
  <si>
    <t>E-Commerce Platform (B2B)</t>
  </si>
  <si>
    <t>E-Commerce Platform (B2C)</t>
  </si>
  <si>
    <t>KBS Systems</t>
  </si>
  <si>
    <t>Global Requirements</t>
  </si>
  <si>
    <t>Reference Websites (Agri / Non-Agri)</t>
  </si>
  <si>
    <t>TOTAL PROJECTED REVENUE  (All Services)  |  FY 2026-27</t>
  </si>
  <si>
    <t>Cost &amp; Margin Breakdown</t>
  </si>
  <si>
    <t xml:space="preserve">  Development &amp; IT Maintenance  (30% of Total Revenue)</t>
  </si>
  <si>
    <t xml:space="preserve">  Server &amp; Infrastructure Cost  (3% of Total Revenue)</t>
  </si>
  <si>
    <t xml:space="preserve">  G&amp;A Expenses  (2% of Total Revenue)</t>
  </si>
  <si>
    <t xml:space="preserve">  Procurement Cost  (2% of Total Revenue)</t>
  </si>
  <si>
    <t xml:space="preserve">  Interest  (0.4% of Total Revenue)</t>
  </si>
  <si>
    <t xml:space="preserve">  Total Costs  (30% Dev + 3% Server + 2% G&amp;A + 2% Procurement + 0.4% Interest = 37.4%)</t>
  </si>
  <si>
    <t>NET REVENUE  (Total Revenue − Total Costs)</t>
  </si>
  <si>
    <t>HOW TO USE:  Change any value in the 'Subscriptions (nos)' rows to update the user count — Revenue, Sub-Totals, Grand Total, and all cost lines recalculate automatically via formulas.  Change any 'Rate' cell to update pricing instantly.  Cost breakdown: Dev &amp; IT Maintenance 30%  |  Server &amp; Infrastructure 3%  |  G&amp;A 2%  |  Procurement 2%  |  Interest 0.4%  =  37.4% total deduction from revenue.  For other service lines, fill in the Rate rows to unlock their revenue figures.</t>
  </si>
  <si>
    <t>2026-27</t>
  </si>
  <si>
    <t>2027-28</t>
  </si>
  <si>
    <t>2028-29</t>
  </si>
  <si>
    <t>2029-30</t>
  </si>
  <si>
    <t>2030-31</t>
  </si>
  <si>
    <t>2031-32</t>
  </si>
  <si>
    <t>2032-33</t>
  </si>
  <si>
    <t>Sr. No.</t>
  </si>
  <si>
    <t>Type of Business</t>
  </si>
  <si>
    <t>Parameters</t>
  </si>
  <si>
    <t>Advisory for Farmers - Pricing Model</t>
  </si>
  <si>
    <t>Plan</t>
  </si>
  <si>
    <t>Price (₹/Acre/Season)</t>
  </si>
  <si>
    <t>Target Segment</t>
  </si>
  <si>
    <t>Starter</t>
  </si>
  <si>
    <t>Basic advisory &amp; alerts</t>
  </si>
  <si>
    <t>Premium</t>
  </si>
  <si>
    <t>Advanced advisory &amp; market insights</t>
  </si>
  <si>
    <t>Platinum</t>
  </si>
  <si>
    <t>Personalized expert consultation</t>
  </si>
  <si>
    <t>Advisory for farmers</t>
  </si>
  <si>
    <t>Quantity</t>
  </si>
  <si>
    <t>Rate</t>
  </si>
  <si>
    <t>Amount</t>
  </si>
  <si>
    <t>Websites for FPC,vendors and rural enterprises</t>
  </si>
  <si>
    <t>Vendor/FPC registration for ERP</t>
  </si>
  <si>
    <t>Pruthashakti vertical requirements</t>
  </si>
  <si>
    <t>E commerce platform B2B</t>
  </si>
  <si>
    <t>E commerce platform B2c</t>
  </si>
  <si>
    <t>KBS systems</t>
  </si>
  <si>
    <t>Global requirements</t>
  </si>
  <si>
    <t>Reference websites(Agri/Non agri)</t>
  </si>
  <si>
    <t>Margin</t>
  </si>
  <si>
    <t>G&amp;A Expenses 2%</t>
  </si>
  <si>
    <t>Procurement @2%</t>
  </si>
  <si>
    <t>Tax</t>
  </si>
  <si>
    <t>Interest@0.4%</t>
  </si>
  <si>
    <t>Total Revenue</t>
  </si>
  <si>
    <t>Year</t>
  </si>
  <si>
    <t>Season</t>
  </si>
  <si>
    <t>Crop</t>
  </si>
  <si>
    <t>Starter (₹/Acre)</t>
  </si>
  <si>
    <t>Premium (₹/Acre)</t>
  </si>
  <si>
    <t>Expert (₹/Acre)</t>
  </si>
  <si>
    <t>Kharif</t>
  </si>
  <si>
    <t>Soybean</t>
  </si>
  <si>
    <t>Cotton</t>
  </si>
  <si>
    <t>Maize</t>
  </si>
  <si>
    <t>Rabi</t>
  </si>
  <si>
    <t>Wheat</t>
  </si>
  <si>
    <t>Gram (Chana)</t>
  </si>
  <si>
    <t>Mustard</t>
  </si>
  <si>
    <t>Zaid</t>
  </si>
  <si>
    <t>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</si>
</sst>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\₹#,##0"/>
  </numFmts>
  <fonts count="4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b/>
      <sz val="10"/>
      <color theme="1"/>
      <name val="Arial"/>
      <family val="2"/>
    </font>
    <font>
      <b/>
      <sz val="12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9"/>
      <color rgb="FF1A5632"/>
      <name val="Calibri"/>
    </font>
    <font>
      <b/>
      <sz val="10"/>
      <color rgb="FF1A5632"/>
      <name val="Calibri"/>
    </font>
    <font>
      <i/>
      <sz val="9"/>
      <color rgb="FF1F618D"/>
      <name val="Calibri"/>
    </font>
    <font>
      <sz val="9"/>
      <color rgb="FF1F618D"/>
      <name val="Calibri"/>
    </font>
    <font>
      <b/>
      <sz val="9"/>
      <color rgb="FF1F618D"/>
      <name val="Calibri"/>
    </font>
    <font>
      <i/>
      <sz val="9"/>
      <color rgb="FF6C3483"/>
      <name val="Calibri"/>
    </font>
    <font>
      <sz val="9"/>
      <color rgb="FF6C3483"/>
      <name val="Calibri"/>
    </font>
    <font>
      <b/>
      <sz val="9"/>
      <color rgb="FF6C3483"/>
      <name val="Calibri"/>
    </font>
    <font>
      <b/>
      <sz val="11"/>
      <color rgb="FF1A5632"/>
      <name val="Calibri"/>
    </font>
    <font>
      <b/>
      <sz val="10"/>
      <color rgb="FFFFFFFF"/>
      <name val="Calibri"/>
    </font>
    <font>
      <b/>
      <sz val="9.5"/>
      <color rgb="FF1A5632"/>
      <name val="Calibri"/>
    </font>
    <font>
      <b/>
      <sz val="9.5"/>
      <color rgb="FF1E8449"/>
      <name val="Calibri"/>
    </font>
    <font>
      <i/>
      <sz val="9"/>
      <color rgb="FF1E8449"/>
      <name val="Calibri"/>
    </font>
    <font>
      <sz val="9"/>
      <color rgb="FF1E8449"/>
      <name val="Calibri"/>
    </font>
    <font>
      <b/>
      <sz val="9"/>
      <color rgb="FF1E8449"/>
      <name val="Calibri"/>
    </font>
    <font>
      <b/>
      <sz val="9.5"/>
      <color rgb="FF1A5276"/>
      <name val="Calibri"/>
    </font>
    <font>
      <i/>
      <sz val="9"/>
      <color rgb="FF1A5276"/>
      <name val="Calibri"/>
    </font>
    <font>
      <sz val="9"/>
      <color rgb="FF1A5276"/>
      <name val="Calibri"/>
    </font>
    <font>
      <b/>
      <sz val="9"/>
      <color rgb="FF1A5276"/>
      <name val="Calibri"/>
    </font>
    <font>
      <b/>
      <sz val="9.5"/>
      <color rgb="FF5B2C6F"/>
      <name val="Calibri"/>
    </font>
    <font>
      <i/>
      <sz val="9"/>
      <color rgb="FF5B2C6F"/>
      <name val="Calibri"/>
    </font>
    <font>
      <sz val="9"/>
      <color rgb="FF5B2C6F"/>
      <name val="Calibri"/>
    </font>
    <font>
      <b/>
      <sz val="9"/>
      <color rgb="FF5B2C6F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784212"/>
      <name val="Calibri"/>
    </font>
    <font>
      <b/>
      <sz val="9"/>
      <color rgb="FF784212"/>
      <name val="Calibri"/>
    </font>
    <font>
      <sz val="9"/>
      <color rgb="FF4A4A4A"/>
      <name val="Calibri"/>
    </font>
    <font>
      <b/>
      <sz val="9"/>
      <color rgb="FF4A4A4A"/>
      <name val="Calibri"/>
    </font>
    <font>
      <b/>
      <sz val="10"/>
      <color rgb="FFC0392B"/>
      <name val="Calibri"/>
    </font>
    <font>
      <i/>
      <sz val="8"/>
      <color rgb="FF1A5632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A5632"/>
      </patternFill>
    </fill>
    <fill>
      <patternFill patternType="solid">
        <fgColor rgb="FF27AE60"/>
      </patternFill>
    </fill>
    <fill>
      <patternFill patternType="solid">
        <fgColor rgb="FFD5F5E3"/>
      </patternFill>
    </fill>
    <fill>
      <patternFill patternType="solid">
        <fgColor rgb="FF2C3E50"/>
      </patternFill>
    </fill>
    <fill>
      <patternFill patternType="solid">
        <fgColor rgb="FFEBF5EB"/>
      </patternFill>
    </fill>
    <fill>
      <patternFill patternType="solid">
        <fgColor rgb="FFFDFEFE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EBF5FB"/>
      </patternFill>
    </fill>
    <fill>
      <patternFill patternType="solid">
        <fgColor rgb="FFD4EFDF"/>
      </patternFill>
    </fill>
    <fill>
      <patternFill patternType="solid">
        <fgColor rgb="FFF2F3F4"/>
      </patternFill>
    </fill>
    <fill>
      <patternFill patternType="solid">
        <fgColor rgb="FFF0FBF4"/>
      </patternFill>
    </fill>
    <fill>
      <patternFill patternType="solid">
        <fgColor rgb="FFE8F8F0"/>
      </patternFill>
    </fill>
    <fill>
      <patternFill patternType="solid">
        <fgColor rgb="FFD6EAF8"/>
      </patternFill>
    </fill>
    <fill>
      <patternFill patternType="solid">
        <fgColor rgb="FFF0F8FF"/>
      </patternFill>
    </fill>
    <fill>
      <patternFill patternType="solid">
        <fgColor rgb="FFE8F4FD"/>
      </patternFill>
    </fill>
    <fill>
      <patternFill patternType="solid">
        <fgColor rgb="FFE8DAEF"/>
      </patternFill>
    </fill>
    <fill>
      <patternFill patternType="solid">
        <fgColor rgb="FFF9F0FF"/>
      </patternFill>
    </fill>
    <fill>
      <patternFill patternType="solid">
        <fgColor rgb="FFF4E6FD"/>
      </patternFill>
    </fill>
    <fill>
      <patternFill patternType="solid">
        <fgColor rgb="FFA9DFBF"/>
      </patternFill>
    </fill>
    <fill>
      <patternFill patternType="solid">
        <fgColor rgb="FFFDEDEC"/>
      </patternFill>
    </fill>
    <fill>
      <patternFill patternType="solid">
        <fgColor rgb="FFFADADD"/>
      </patternFill>
    </fill>
    <fill>
      <patternFill patternType="solid">
        <fgColor rgb="FFFDEBD0"/>
      </patternFill>
    </fill>
    <fill>
      <patternFill patternType="solid">
        <fgColor rgb="FFFAD7A0"/>
      </patternFill>
    </fill>
    <fill>
      <patternFill patternType="solid">
        <fgColor rgb="FFEAECEE"/>
      </patternFill>
    </fill>
    <fill>
      <patternFill patternType="solid">
        <fgColor rgb="FFFADB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7" fillId="0" borderId="0" xfId="0" applyFont="1"/>
    <xf numFmtId="0" fontId="10" fillId="5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0" fillId="7" borderId="8" xfId="0" applyFill="1" applyBorder="1"/>
    <xf numFmtId="0" fontId="13" fillId="7" borderId="8" xfId="0" applyFont="1" applyFill="1" applyBorder="1" applyAlignment="1">
      <alignment horizontal="left" vertical="center" indent="1"/>
    </xf>
    <xf numFmtId="3" fontId="14" fillId="7" borderId="8" xfId="0" applyNumberFormat="1" applyFont="1" applyFill="1" applyBorder="1" applyAlignment="1">
      <alignment horizontal="right" vertical="center"/>
    </xf>
    <xf numFmtId="3" fontId="15" fillId="8" borderId="8" xfId="0" applyNumberFormat="1" applyFont="1" applyFill="1" applyBorder="1" applyAlignment="1">
      <alignment horizontal="right" vertical="center"/>
    </xf>
    <xf numFmtId="0" fontId="0" fillId="9" borderId="8" xfId="0" applyFill="1" applyBorder="1"/>
    <xf numFmtId="0" fontId="16" fillId="9" borderId="8" xfId="0" applyFont="1" applyFill="1" applyBorder="1" applyAlignment="1">
      <alignment horizontal="left" vertical="center" indent="1"/>
    </xf>
    <xf numFmtId="165" fontId="17" fillId="9" borderId="8" xfId="0" applyNumberFormat="1" applyFont="1" applyFill="1" applyBorder="1" applyAlignment="1">
      <alignment horizontal="right" vertical="center"/>
    </xf>
    <xf numFmtId="0" fontId="18" fillId="8" borderId="8" xfId="0" applyFont="1" applyFill="1" applyBorder="1" applyAlignment="1">
      <alignment horizontal="center" vertical="center" wrapText="1"/>
    </xf>
    <xf numFmtId="0" fontId="0" fillId="10" borderId="8" xfId="0" applyFill="1" applyBorder="1"/>
    <xf numFmtId="0" fontId="11" fillId="10" borderId="8" xfId="0" applyFont="1" applyFill="1" applyBorder="1" applyAlignment="1">
      <alignment horizontal="left" vertical="center" indent="1"/>
    </xf>
    <xf numFmtId="165" fontId="11" fillId="10" borderId="8" xfId="0" applyNumberFormat="1" applyFont="1" applyFill="1" applyBorder="1" applyAlignment="1">
      <alignment horizontal="right" vertical="center"/>
    </xf>
    <xf numFmtId="165" fontId="12" fillId="11" borderId="9" xfId="0" applyNumberFormat="1" applyFont="1" applyFill="1" applyBorder="1" applyAlignment="1">
      <alignment horizontal="right" vertical="center"/>
    </xf>
    <xf numFmtId="165" fontId="19" fillId="11" borderId="9" xfId="0" applyNumberFormat="1" applyFont="1" applyFill="1" applyBorder="1" applyAlignment="1">
      <alignment horizontal="right" vertical="center"/>
    </xf>
    <xf numFmtId="0" fontId="20" fillId="2" borderId="8" xfId="0" applyFont="1" applyFill="1" applyBorder="1" applyAlignment="1">
      <alignment horizontal="center" vertical="center" wrapText="1"/>
    </xf>
    <xf numFmtId="0" fontId="0" fillId="4" borderId="8" xfId="0" applyFill="1" applyBorder="1"/>
    <xf numFmtId="0" fontId="0" fillId="13" borderId="8" xfId="0" applyFill="1" applyBorder="1"/>
    <xf numFmtId="0" fontId="23" fillId="13" borderId="8" xfId="0" applyFont="1" applyFill="1" applyBorder="1" applyAlignment="1">
      <alignment horizontal="left" vertical="center" indent="1"/>
    </xf>
    <xf numFmtId="3" fontId="24" fillId="13" borderId="8" xfId="0" applyNumberFormat="1" applyFont="1" applyFill="1" applyBorder="1" applyAlignment="1">
      <alignment horizontal="right" vertical="center"/>
    </xf>
    <xf numFmtId="3" fontId="25" fillId="8" borderId="8" xfId="0" applyNumberFormat="1" applyFont="1" applyFill="1" applyBorder="1" applyAlignment="1">
      <alignment horizontal="right" vertical="center"/>
    </xf>
    <xf numFmtId="0" fontId="0" fillId="14" borderId="8" xfId="0" applyFill="1" applyBorder="1"/>
    <xf numFmtId="0" fontId="23" fillId="14" borderId="8" xfId="0" applyFont="1" applyFill="1" applyBorder="1" applyAlignment="1">
      <alignment horizontal="left" vertical="center" indent="1"/>
    </xf>
    <xf numFmtId="165" fontId="24" fillId="14" borderId="8" xfId="0" applyNumberFormat="1" applyFont="1" applyFill="1" applyBorder="1" applyAlignment="1">
      <alignment horizontal="right" vertical="center"/>
    </xf>
    <xf numFmtId="0" fontId="25" fillId="8" borderId="8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left" vertical="center" indent="1"/>
    </xf>
    <xf numFmtId="165" fontId="25" fillId="4" borderId="8" xfId="0" applyNumberFormat="1" applyFont="1" applyFill="1" applyBorder="1" applyAlignment="1">
      <alignment horizontal="right" vertical="center"/>
    </xf>
    <xf numFmtId="165" fontId="25" fillId="8" borderId="8" xfId="0" applyNumberFormat="1" applyFont="1" applyFill="1" applyBorder="1" applyAlignment="1">
      <alignment horizontal="right" vertical="center"/>
    </xf>
    <xf numFmtId="0" fontId="0" fillId="15" borderId="8" xfId="0" applyFill="1" applyBorder="1"/>
    <xf numFmtId="0" fontId="0" fillId="16" borderId="8" xfId="0" applyFill="1" applyBorder="1"/>
    <xf numFmtId="0" fontId="0" fillId="17" borderId="8" xfId="0" applyFill="1" applyBorder="1"/>
    <xf numFmtId="0" fontId="27" fillId="17" borderId="8" xfId="0" applyFont="1" applyFill="1" applyBorder="1" applyAlignment="1">
      <alignment horizontal="left" vertical="center" indent="1"/>
    </xf>
    <xf numFmtId="165" fontId="28" fillId="17" borderId="8" xfId="0" applyNumberFormat="1" applyFont="1" applyFill="1" applyBorder="1" applyAlignment="1">
      <alignment horizontal="right" vertical="center"/>
    </xf>
    <xf numFmtId="0" fontId="29" fillId="8" borderId="8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left" vertical="center" indent="1"/>
    </xf>
    <xf numFmtId="165" fontId="29" fillId="15" borderId="8" xfId="0" applyNumberFormat="1" applyFont="1" applyFill="1" applyBorder="1" applyAlignment="1">
      <alignment horizontal="right" vertical="center"/>
    </xf>
    <xf numFmtId="165" fontId="29" fillId="8" borderId="8" xfId="0" applyNumberFormat="1" applyFont="1" applyFill="1" applyBorder="1" applyAlignment="1">
      <alignment horizontal="right" vertical="center"/>
    </xf>
    <xf numFmtId="0" fontId="0" fillId="18" borderId="8" xfId="0" applyFill="1" applyBorder="1"/>
    <xf numFmtId="0" fontId="0" fillId="19" borderId="8" xfId="0" applyFill="1" applyBorder="1"/>
    <xf numFmtId="0" fontId="0" fillId="20" borderId="8" xfId="0" applyFill="1" applyBorder="1"/>
    <xf numFmtId="0" fontId="31" fillId="20" borderId="8" xfId="0" applyFont="1" applyFill="1" applyBorder="1" applyAlignment="1">
      <alignment horizontal="left" vertical="center" indent="1"/>
    </xf>
    <xf numFmtId="165" fontId="32" fillId="20" borderId="8" xfId="0" applyNumberFormat="1" applyFont="1" applyFill="1" applyBorder="1" applyAlignment="1">
      <alignment horizontal="right" vertical="center"/>
    </xf>
    <xf numFmtId="0" fontId="33" fillId="8" borderId="8" xfId="0" applyFont="1" applyFill="1" applyBorder="1" applyAlignment="1">
      <alignment horizontal="center" vertical="center" wrapText="1"/>
    </xf>
    <xf numFmtId="0" fontId="33" fillId="18" borderId="8" xfId="0" applyFont="1" applyFill="1" applyBorder="1" applyAlignment="1">
      <alignment horizontal="left" vertical="center" indent="1"/>
    </xf>
    <xf numFmtId="165" fontId="33" fillId="18" borderId="8" xfId="0" applyNumberFormat="1" applyFont="1" applyFill="1" applyBorder="1" applyAlignment="1">
      <alignment horizontal="right" vertical="center"/>
    </xf>
    <xf numFmtId="165" fontId="33" fillId="8" borderId="8" xfId="0" applyNumberFormat="1" applyFont="1" applyFill="1" applyBorder="1" applyAlignment="1">
      <alignment horizontal="right" vertical="center"/>
    </xf>
    <xf numFmtId="165" fontId="12" fillId="21" borderId="9" xfId="0" applyNumberFormat="1" applyFont="1" applyFill="1" applyBorder="1" applyAlignment="1">
      <alignment horizontal="right" vertical="center"/>
    </xf>
    <xf numFmtId="0" fontId="27" fillId="16" borderId="8" xfId="0" applyFont="1" applyFill="1" applyBorder="1" applyAlignment="1">
      <alignment horizontal="left" vertical="center" indent="1"/>
    </xf>
    <xf numFmtId="3" fontId="28" fillId="16" borderId="8" xfId="0" applyNumberFormat="1" applyFont="1" applyFill="1" applyBorder="1" applyAlignment="1">
      <alignment horizontal="right" vertical="center"/>
    </xf>
    <xf numFmtId="3" fontId="29" fillId="8" borderId="8" xfId="0" applyNumberFormat="1" applyFont="1" applyFill="1" applyBorder="1" applyAlignment="1">
      <alignment horizontal="right" vertical="center"/>
    </xf>
    <xf numFmtId="0" fontId="31" fillId="19" borderId="8" xfId="0" applyFont="1" applyFill="1" applyBorder="1" applyAlignment="1">
      <alignment horizontal="left" vertical="center" indent="1"/>
    </xf>
    <xf numFmtId="3" fontId="33" fillId="8" borderId="8" xfId="0" applyNumberFormat="1" applyFont="1" applyFill="1" applyBorder="1" applyAlignment="1">
      <alignment horizontal="right" vertical="center"/>
    </xf>
    <xf numFmtId="165" fontId="19" fillId="21" borderId="9" xfId="0" applyNumberFormat="1" applyFont="1" applyFill="1" applyBorder="1" applyAlignment="1">
      <alignment horizontal="right" vertical="center"/>
    </xf>
    <xf numFmtId="165" fontId="11" fillId="8" borderId="8" xfId="0" applyNumberFormat="1" applyFont="1" applyFill="1" applyBorder="1" applyAlignment="1">
      <alignment horizontal="right" vertical="center"/>
    </xf>
    <xf numFmtId="165" fontId="34" fillId="23" borderId="8" xfId="0" applyNumberFormat="1" applyFont="1" applyFill="1" applyBorder="1" applyAlignment="1">
      <alignment horizontal="right" vertical="center"/>
    </xf>
    <xf numFmtId="165" fontId="35" fillId="8" borderId="8" xfId="0" applyNumberFormat="1" applyFont="1" applyFill="1" applyBorder="1" applyAlignment="1">
      <alignment horizontal="right" vertical="center"/>
    </xf>
    <xf numFmtId="165" fontId="36" fillId="25" borderId="8" xfId="0" applyNumberFormat="1" applyFont="1" applyFill="1" applyBorder="1" applyAlignment="1">
      <alignment horizontal="right" vertical="center"/>
    </xf>
    <xf numFmtId="165" fontId="37" fillId="8" borderId="8" xfId="0" applyNumberFormat="1" applyFont="1" applyFill="1" applyBorder="1" applyAlignment="1">
      <alignment horizontal="right" vertical="center"/>
    </xf>
    <xf numFmtId="165" fontId="38" fillId="26" borderId="8" xfId="0" applyNumberFormat="1" applyFont="1" applyFill="1" applyBorder="1" applyAlignment="1">
      <alignment horizontal="right" vertical="center"/>
    </xf>
    <xf numFmtId="165" fontId="39" fillId="8" borderId="8" xfId="0" applyNumberFormat="1" applyFont="1" applyFill="1" applyBorder="1" applyAlignment="1">
      <alignment horizontal="right" vertical="center"/>
    </xf>
    <xf numFmtId="165" fontId="35" fillId="27" borderId="9" xfId="0" applyNumberFormat="1" applyFont="1" applyFill="1" applyBorder="1" applyAlignment="1">
      <alignment horizontal="right" vertical="center"/>
    </xf>
    <xf numFmtId="165" fontId="40" fillId="8" borderId="9" xfId="0" applyNumberFormat="1" applyFont="1" applyFill="1" applyBorder="1" applyAlignment="1">
      <alignment horizontal="right" vertical="center"/>
    </xf>
    <xf numFmtId="0" fontId="12" fillId="6" borderId="8" xfId="0" applyFont="1" applyFill="1" applyBorder="1" applyAlignment="1">
      <alignment horizontal="left" vertical="center" indent="1"/>
    </xf>
    <xf numFmtId="0" fontId="0" fillId="0" borderId="12" xfId="0" applyBorder="1"/>
    <xf numFmtId="0" fontId="0" fillId="0" borderId="13" xfId="0" applyBorder="1"/>
    <xf numFmtId="0" fontId="30" fillId="18" borderId="8" xfId="0" applyFont="1" applyFill="1" applyBorder="1" applyAlignment="1">
      <alignment horizontal="left" vertical="center" indent="1"/>
    </xf>
    <xf numFmtId="0" fontId="21" fillId="21" borderId="9" xfId="0" applyFont="1" applyFill="1" applyBorder="1" applyAlignment="1">
      <alignment horizontal="left" vertical="center" indent="1"/>
    </xf>
    <xf numFmtId="0" fontId="0" fillId="21" borderId="9" xfId="0" applyFill="1" applyBorder="1"/>
    <xf numFmtId="0" fontId="36" fillId="24" borderId="8" xfId="0" applyFont="1" applyFill="1" applyBorder="1" applyAlignment="1">
      <alignment horizontal="left" vertical="center" indent="1"/>
    </xf>
    <xf numFmtId="0" fontId="34" fillId="22" borderId="8" xfId="0" applyFont="1" applyFill="1" applyBorder="1" applyAlignment="1">
      <alignment horizontal="left" vertical="center" indent="1"/>
    </xf>
    <xf numFmtId="0" fontId="38" fillId="12" borderId="8" xfId="0" applyFont="1" applyFill="1" applyBorder="1" applyAlignment="1">
      <alignment horizontal="left" vertical="center" indent="1"/>
    </xf>
    <xf numFmtId="0" fontId="41" fillId="6" borderId="0" xfId="0" applyFont="1" applyFill="1" applyAlignment="1">
      <alignment horizontal="left" vertical="center" wrapText="1"/>
    </xf>
    <xf numFmtId="0" fontId="0" fillId="0" borderId="0" xfId="0"/>
    <xf numFmtId="0" fontId="26" fillId="15" borderId="8" xfId="0" applyFont="1" applyFill="1" applyBorder="1" applyAlignment="1">
      <alignment horizontal="left" vertical="center" indent="1"/>
    </xf>
    <xf numFmtId="0" fontId="12" fillId="11" borderId="9" xfId="0" applyFont="1" applyFill="1" applyBorder="1" applyAlignment="1">
      <alignment horizontal="center" vertical="center" wrapText="1"/>
    </xf>
    <xf numFmtId="0" fontId="0" fillId="11" borderId="9" xfId="0" applyFill="1" applyBorder="1"/>
    <xf numFmtId="0" fontId="22" fillId="4" borderId="8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 indent="1"/>
    </xf>
    <xf numFmtId="0" fontId="20" fillId="5" borderId="8" xfId="0" applyFont="1" applyFill="1" applyBorder="1" applyAlignment="1">
      <alignment horizontal="center" vertical="center" wrapText="1"/>
    </xf>
    <xf numFmtId="0" fontId="35" fillId="27" borderId="9" xfId="0" applyFont="1" applyFill="1" applyBorder="1" applyAlignment="1">
      <alignment horizontal="left" vertical="center" indent="1"/>
    </xf>
    <xf numFmtId="0" fontId="0" fillId="0" borderId="10" xfId="0" applyBorder="1"/>
    <xf numFmtId="0" fontId="0" fillId="0" borderId="11" xfId="0" applyBorder="1"/>
    <xf numFmtId="0" fontId="12" fillId="11" borderId="9" xfId="0" applyFont="1" applyFill="1" applyBorder="1" applyAlignment="1">
      <alignment horizontal="left" vertical="center" indent="1"/>
    </xf>
    <xf numFmtId="0" fontId="21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showGridLines="0" tabSelected="1" zoomScale="90" workbookViewId="0">
      <pane xSplit="3" ySplit="4" topLeftCell="D44" activePane="bottomRight" state="frozen"/>
      <selection pane="topRight"/>
      <selection pane="bottomLeft"/>
      <selection pane="bottomRight" activeCell="R58" sqref="R58"/>
    </sheetView>
  </sheetViews>
  <sheetFormatPr defaultRowHeight="15.75" x14ac:dyDescent="0.25"/>
  <cols>
    <col min="1" max="1" width="4" customWidth="1"/>
    <col min="2" max="2" width="30" customWidth="1"/>
    <col min="3" max="3" width="16" customWidth="1"/>
    <col min="4" max="15" width="8.5" customWidth="1"/>
    <col min="16" max="16" width="13" customWidth="1"/>
  </cols>
  <sheetData>
    <row r="1" spans="1:16" ht="33.950000000000003" customHeight="1" x14ac:dyDescent="0.25">
      <c r="A1" s="98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6" ht="20.100000000000001" customHeight="1" x14ac:dyDescent="0.25">
      <c r="A2" s="106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16" ht="17.100000000000001" customHeight="1" x14ac:dyDescent="0.25">
      <c r="A3" s="105" t="s">
        <v>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</row>
    <row r="4" spans="1:16" ht="21.95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21" t="s">
        <v>8</v>
      </c>
      <c r="G4" s="21" t="s">
        <v>9</v>
      </c>
      <c r="H4" s="21" t="s">
        <v>10</v>
      </c>
      <c r="I4" s="21" t="s">
        <v>11</v>
      </c>
      <c r="J4" s="21" t="s">
        <v>12</v>
      </c>
      <c r="K4" s="21" t="s">
        <v>13</v>
      </c>
      <c r="L4" s="21" t="s">
        <v>14</v>
      </c>
      <c r="M4" s="21" t="s">
        <v>15</v>
      </c>
      <c r="N4" s="21" t="s">
        <v>16</v>
      </c>
      <c r="O4" s="21" t="s">
        <v>17</v>
      </c>
      <c r="P4" s="21" t="s">
        <v>18</v>
      </c>
    </row>
    <row r="5" spans="1:16" ht="18" customHeight="1" x14ac:dyDescent="0.25">
      <c r="A5" s="36" t="s">
        <v>19</v>
      </c>
      <c r="B5" s="99" t="s">
        <v>20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5"/>
    </row>
    <row r="6" spans="1:16" ht="15.95" customHeight="1" x14ac:dyDescent="0.25">
      <c r="A6" s="37"/>
      <c r="B6" s="97" t="s">
        <v>21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5"/>
    </row>
    <row r="7" spans="1:16" ht="14.1" customHeight="1" x14ac:dyDescent="0.25">
      <c r="A7" s="38"/>
      <c r="B7" s="38"/>
      <c r="C7" s="39" t="s">
        <v>22</v>
      </c>
      <c r="D7" s="40">
        <v>1000</v>
      </c>
      <c r="E7" s="40">
        <v>1000</v>
      </c>
      <c r="F7" s="40">
        <v>1000</v>
      </c>
      <c r="G7" s="40">
        <v>1000</v>
      </c>
      <c r="H7" s="40">
        <v>1000</v>
      </c>
      <c r="I7" s="40">
        <v>1000</v>
      </c>
      <c r="J7" s="40">
        <v>1000</v>
      </c>
      <c r="K7" s="40">
        <v>1000</v>
      </c>
      <c r="L7" s="40">
        <v>1000</v>
      </c>
      <c r="M7" s="40">
        <v>1000</v>
      </c>
      <c r="N7" s="40">
        <v>1000</v>
      </c>
      <c r="O7" s="40">
        <v>1000</v>
      </c>
      <c r="P7" s="41">
        <f>SUM(D7:O7)</f>
        <v>12000</v>
      </c>
    </row>
    <row r="8" spans="1:16" ht="14.1" customHeight="1" x14ac:dyDescent="0.25">
      <c r="A8" s="42"/>
      <c r="B8" s="42"/>
      <c r="C8" s="43" t="s">
        <v>23</v>
      </c>
      <c r="D8" s="44">
        <v>149</v>
      </c>
      <c r="E8" s="44">
        <v>149</v>
      </c>
      <c r="F8" s="44">
        <v>149</v>
      </c>
      <c r="G8" s="44">
        <v>149</v>
      </c>
      <c r="H8" s="44">
        <v>149</v>
      </c>
      <c r="I8" s="44">
        <v>149</v>
      </c>
      <c r="J8" s="44">
        <v>149</v>
      </c>
      <c r="K8" s="44">
        <v>149</v>
      </c>
      <c r="L8" s="44">
        <v>99</v>
      </c>
      <c r="M8" s="44">
        <v>99</v>
      </c>
      <c r="N8" s="44">
        <v>99</v>
      </c>
      <c r="O8" s="44">
        <v>99</v>
      </c>
      <c r="P8" s="45" t="s">
        <v>24</v>
      </c>
    </row>
    <row r="9" spans="1:16" ht="14.1" customHeight="1" x14ac:dyDescent="0.25">
      <c r="A9" s="37"/>
      <c r="B9" s="37"/>
      <c r="C9" s="46" t="s">
        <v>25</v>
      </c>
      <c r="D9" s="47">
        <f t="shared" ref="D9:O9" si="0">D7*D8</f>
        <v>149000</v>
      </c>
      <c r="E9" s="47">
        <f t="shared" si="0"/>
        <v>149000</v>
      </c>
      <c r="F9" s="47">
        <f t="shared" si="0"/>
        <v>149000</v>
      </c>
      <c r="G9" s="47">
        <f t="shared" si="0"/>
        <v>149000</v>
      </c>
      <c r="H9" s="47">
        <f t="shared" si="0"/>
        <v>149000</v>
      </c>
      <c r="I9" s="47">
        <f t="shared" si="0"/>
        <v>149000</v>
      </c>
      <c r="J9" s="47">
        <f t="shared" si="0"/>
        <v>149000</v>
      </c>
      <c r="K9" s="47">
        <f t="shared" si="0"/>
        <v>149000</v>
      </c>
      <c r="L9" s="47">
        <f t="shared" si="0"/>
        <v>99000</v>
      </c>
      <c r="M9" s="47">
        <f t="shared" si="0"/>
        <v>99000</v>
      </c>
      <c r="N9" s="47">
        <f t="shared" si="0"/>
        <v>99000</v>
      </c>
      <c r="O9" s="47">
        <f t="shared" si="0"/>
        <v>99000</v>
      </c>
      <c r="P9" s="48">
        <f>SUM(D9:O9)</f>
        <v>1588000</v>
      </c>
    </row>
    <row r="10" spans="1:16" ht="15.95" customHeight="1" x14ac:dyDescent="0.25">
      <c r="A10" s="49"/>
      <c r="B10" s="94" t="s">
        <v>26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5"/>
    </row>
    <row r="11" spans="1:16" ht="14.1" customHeight="1" x14ac:dyDescent="0.25">
      <c r="A11" s="50"/>
      <c r="B11" s="50"/>
      <c r="C11" s="68" t="s">
        <v>22</v>
      </c>
      <c r="D11" s="69">
        <v>500</v>
      </c>
      <c r="E11" s="69">
        <v>500</v>
      </c>
      <c r="F11" s="69">
        <v>500</v>
      </c>
      <c r="G11" s="69">
        <v>500</v>
      </c>
      <c r="H11" s="69">
        <v>500</v>
      </c>
      <c r="I11" s="69">
        <v>500</v>
      </c>
      <c r="J11" s="69">
        <v>500</v>
      </c>
      <c r="K11" s="69">
        <v>500</v>
      </c>
      <c r="L11" s="69">
        <v>500</v>
      </c>
      <c r="M11" s="69">
        <v>500</v>
      </c>
      <c r="N11" s="69">
        <v>500</v>
      </c>
      <c r="O11" s="69">
        <v>500</v>
      </c>
      <c r="P11" s="70">
        <f>SUM(D11:O11)</f>
        <v>6000</v>
      </c>
    </row>
    <row r="12" spans="1:16" ht="14.1" customHeight="1" x14ac:dyDescent="0.25">
      <c r="A12" s="51"/>
      <c r="B12" s="51"/>
      <c r="C12" s="52" t="s">
        <v>23</v>
      </c>
      <c r="D12" s="53">
        <v>299</v>
      </c>
      <c r="E12" s="53">
        <v>299</v>
      </c>
      <c r="F12" s="53">
        <v>299</v>
      </c>
      <c r="G12" s="53">
        <v>299</v>
      </c>
      <c r="H12" s="53">
        <v>299</v>
      </c>
      <c r="I12" s="53">
        <v>299</v>
      </c>
      <c r="J12" s="53">
        <v>299</v>
      </c>
      <c r="K12" s="53">
        <v>299</v>
      </c>
      <c r="L12" s="53">
        <v>299</v>
      </c>
      <c r="M12" s="53">
        <v>299</v>
      </c>
      <c r="N12" s="53">
        <v>299</v>
      </c>
      <c r="O12" s="53">
        <v>299</v>
      </c>
      <c r="P12" s="54" t="s">
        <v>24</v>
      </c>
    </row>
    <row r="13" spans="1:16" ht="14.1" customHeight="1" x14ac:dyDescent="0.25">
      <c r="A13" s="49"/>
      <c r="B13" s="49"/>
      <c r="C13" s="55" t="s">
        <v>25</v>
      </c>
      <c r="D13" s="56">
        <f t="shared" ref="D13:O13" si="1">D11*D12</f>
        <v>149500</v>
      </c>
      <c r="E13" s="56">
        <f t="shared" si="1"/>
        <v>149500</v>
      </c>
      <c r="F13" s="56">
        <f t="shared" si="1"/>
        <v>149500</v>
      </c>
      <c r="G13" s="56">
        <f t="shared" si="1"/>
        <v>149500</v>
      </c>
      <c r="H13" s="56">
        <f t="shared" si="1"/>
        <v>149500</v>
      </c>
      <c r="I13" s="56">
        <f t="shared" si="1"/>
        <v>149500</v>
      </c>
      <c r="J13" s="56">
        <f t="shared" si="1"/>
        <v>149500</v>
      </c>
      <c r="K13" s="56">
        <f t="shared" si="1"/>
        <v>149500</v>
      </c>
      <c r="L13" s="56">
        <f t="shared" si="1"/>
        <v>149500</v>
      </c>
      <c r="M13" s="56">
        <f t="shared" si="1"/>
        <v>149500</v>
      </c>
      <c r="N13" s="56">
        <f t="shared" si="1"/>
        <v>149500</v>
      </c>
      <c r="O13" s="56">
        <f t="shared" si="1"/>
        <v>149500</v>
      </c>
      <c r="P13" s="57">
        <f>SUM(D13:O13)</f>
        <v>1794000</v>
      </c>
    </row>
    <row r="14" spans="1:16" ht="15.95" customHeight="1" x14ac:dyDescent="0.25">
      <c r="A14" s="58"/>
      <c r="B14" s="86" t="s">
        <v>27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5"/>
    </row>
    <row r="15" spans="1:16" ht="14.1" customHeight="1" x14ac:dyDescent="0.25">
      <c r="A15" s="59"/>
      <c r="B15" s="59"/>
      <c r="C15" s="71" t="s">
        <v>22</v>
      </c>
      <c r="D15" s="69">
        <v>500</v>
      </c>
      <c r="E15" s="69">
        <v>500</v>
      </c>
      <c r="F15" s="69">
        <v>500</v>
      </c>
      <c r="G15" s="69">
        <v>500</v>
      </c>
      <c r="H15" s="69">
        <v>500</v>
      </c>
      <c r="I15" s="69">
        <v>500</v>
      </c>
      <c r="J15" s="69">
        <v>500</v>
      </c>
      <c r="K15" s="69">
        <v>500</v>
      </c>
      <c r="L15" s="69">
        <v>500</v>
      </c>
      <c r="M15" s="69">
        <v>500</v>
      </c>
      <c r="N15" s="69">
        <v>500</v>
      </c>
      <c r="O15" s="69">
        <v>500</v>
      </c>
      <c r="P15" s="72">
        <f>SUM(D15:O15)</f>
        <v>6000</v>
      </c>
    </row>
    <row r="16" spans="1:16" ht="14.1" customHeight="1" x14ac:dyDescent="0.25">
      <c r="A16" s="60"/>
      <c r="B16" s="60"/>
      <c r="C16" s="61" t="s">
        <v>23</v>
      </c>
      <c r="D16" s="62">
        <v>999</v>
      </c>
      <c r="E16" s="62">
        <v>999</v>
      </c>
      <c r="F16" s="62">
        <v>999</v>
      </c>
      <c r="G16" s="62">
        <v>999</v>
      </c>
      <c r="H16" s="62">
        <v>999</v>
      </c>
      <c r="I16" s="62">
        <v>999</v>
      </c>
      <c r="J16" s="62">
        <v>999</v>
      </c>
      <c r="K16" s="62">
        <v>999</v>
      </c>
      <c r="L16" s="62">
        <v>999</v>
      </c>
      <c r="M16" s="62">
        <v>999</v>
      </c>
      <c r="N16" s="62">
        <v>999</v>
      </c>
      <c r="O16" s="62">
        <v>999</v>
      </c>
      <c r="P16" s="63" t="s">
        <v>24</v>
      </c>
    </row>
    <row r="17" spans="1:16" ht="14.1" customHeight="1" x14ac:dyDescent="0.25">
      <c r="A17" s="58"/>
      <c r="B17" s="58"/>
      <c r="C17" s="64" t="s">
        <v>25</v>
      </c>
      <c r="D17" s="65">
        <f t="shared" ref="D17:O17" si="2">D15*D16</f>
        <v>499500</v>
      </c>
      <c r="E17" s="65">
        <f t="shared" si="2"/>
        <v>499500</v>
      </c>
      <c r="F17" s="65">
        <f t="shared" si="2"/>
        <v>499500</v>
      </c>
      <c r="G17" s="65">
        <f t="shared" si="2"/>
        <v>499500</v>
      </c>
      <c r="H17" s="65">
        <f t="shared" si="2"/>
        <v>499500</v>
      </c>
      <c r="I17" s="65">
        <f t="shared" si="2"/>
        <v>499500</v>
      </c>
      <c r="J17" s="65">
        <f t="shared" si="2"/>
        <v>499500</v>
      </c>
      <c r="K17" s="65">
        <f t="shared" si="2"/>
        <v>499500</v>
      </c>
      <c r="L17" s="65">
        <f t="shared" si="2"/>
        <v>499500</v>
      </c>
      <c r="M17" s="65">
        <f t="shared" si="2"/>
        <v>499500</v>
      </c>
      <c r="N17" s="65">
        <f t="shared" si="2"/>
        <v>499500</v>
      </c>
      <c r="O17" s="65">
        <f t="shared" si="2"/>
        <v>499500</v>
      </c>
      <c r="P17" s="66">
        <f>SUM(D17:O17)</f>
        <v>5994000</v>
      </c>
    </row>
    <row r="18" spans="1:16" ht="20.100000000000001" customHeight="1" x14ac:dyDescent="0.25">
      <c r="A18" s="87" t="s">
        <v>28</v>
      </c>
      <c r="B18" s="88"/>
      <c r="C18" s="88"/>
      <c r="D18" s="67">
        <f t="shared" ref="D18:O18" si="3">D9+D13+D17</f>
        <v>798000</v>
      </c>
      <c r="E18" s="67">
        <f t="shared" si="3"/>
        <v>798000</v>
      </c>
      <c r="F18" s="67">
        <f t="shared" si="3"/>
        <v>798000</v>
      </c>
      <c r="G18" s="67">
        <f t="shared" si="3"/>
        <v>798000</v>
      </c>
      <c r="H18" s="67">
        <f t="shared" si="3"/>
        <v>798000</v>
      </c>
      <c r="I18" s="67">
        <f t="shared" si="3"/>
        <v>798000</v>
      </c>
      <c r="J18" s="67">
        <f t="shared" si="3"/>
        <v>798000</v>
      </c>
      <c r="K18" s="67">
        <f t="shared" si="3"/>
        <v>798000</v>
      </c>
      <c r="L18" s="67">
        <f t="shared" si="3"/>
        <v>748000</v>
      </c>
      <c r="M18" s="67">
        <f t="shared" si="3"/>
        <v>748000</v>
      </c>
      <c r="N18" s="67">
        <f t="shared" si="3"/>
        <v>748000</v>
      </c>
      <c r="O18" s="67">
        <f t="shared" si="3"/>
        <v>748000</v>
      </c>
      <c r="P18" s="73">
        <f>SUM(D18:O18)</f>
        <v>9376000</v>
      </c>
    </row>
    <row r="19" spans="1:16" ht="17.100000000000001" customHeight="1" x14ac:dyDescent="0.25">
      <c r="A19" s="22">
        <v>2</v>
      </c>
      <c r="B19" s="83" t="s">
        <v>29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5"/>
    </row>
    <row r="20" spans="1:16" ht="14.1" customHeight="1" x14ac:dyDescent="0.25">
      <c r="A20" s="23"/>
      <c r="B20" s="23"/>
      <c r="C20" s="24" t="s">
        <v>22</v>
      </c>
      <c r="D20" s="25"/>
      <c r="E20" s="25"/>
      <c r="F20" s="25"/>
      <c r="G20" s="25">
        <v>5</v>
      </c>
      <c r="H20" s="25">
        <v>5</v>
      </c>
      <c r="I20" s="25">
        <v>5</v>
      </c>
      <c r="J20" s="25">
        <v>5</v>
      </c>
      <c r="K20" s="25">
        <v>5</v>
      </c>
      <c r="L20" s="25">
        <v>5</v>
      </c>
      <c r="M20" s="25">
        <v>5</v>
      </c>
      <c r="N20" s="25">
        <v>5</v>
      </c>
      <c r="O20" s="25">
        <v>5</v>
      </c>
      <c r="P20" s="26">
        <f>SUM(D20:O20)</f>
        <v>45</v>
      </c>
    </row>
    <row r="21" spans="1:16" ht="14.1" customHeight="1" x14ac:dyDescent="0.25">
      <c r="A21" s="27"/>
      <c r="B21" s="27"/>
      <c r="C21" s="28" t="s">
        <v>30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 t="s">
        <v>31</v>
      </c>
    </row>
    <row r="22" spans="1:16" ht="14.1" customHeight="1" x14ac:dyDescent="0.25">
      <c r="A22" s="31"/>
      <c r="B22" s="31"/>
      <c r="C22" s="32" t="s">
        <v>25</v>
      </c>
      <c r="D22" s="33">
        <f t="shared" ref="D22:O22" si="4">IFERROR(D20*D21,0)</f>
        <v>0</v>
      </c>
      <c r="E22" s="33">
        <f t="shared" si="4"/>
        <v>0</v>
      </c>
      <c r="F22" s="33">
        <f t="shared" si="4"/>
        <v>0</v>
      </c>
      <c r="G22" s="33">
        <f t="shared" si="4"/>
        <v>0</v>
      </c>
      <c r="H22" s="33">
        <f t="shared" si="4"/>
        <v>0</v>
      </c>
      <c r="I22" s="33">
        <f t="shared" si="4"/>
        <v>0</v>
      </c>
      <c r="J22" s="33">
        <f t="shared" si="4"/>
        <v>0</v>
      </c>
      <c r="K22" s="33">
        <f t="shared" si="4"/>
        <v>0</v>
      </c>
      <c r="L22" s="33">
        <f t="shared" si="4"/>
        <v>0</v>
      </c>
      <c r="M22" s="33">
        <f t="shared" si="4"/>
        <v>0</v>
      </c>
      <c r="N22" s="33">
        <f t="shared" si="4"/>
        <v>0</v>
      </c>
      <c r="O22" s="33">
        <f t="shared" si="4"/>
        <v>0</v>
      </c>
      <c r="P22" s="74">
        <f>SUM(D22:O22)</f>
        <v>0</v>
      </c>
    </row>
    <row r="23" spans="1:16" ht="17.100000000000001" customHeight="1" x14ac:dyDescent="0.25">
      <c r="A23" s="22">
        <v>3</v>
      </c>
      <c r="B23" s="83" t="s">
        <v>32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5"/>
    </row>
    <row r="24" spans="1:16" ht="14.1" customHeight="1" x14ac:dyDescent="0.25">
      <c r="A24" s="23"/>
      <c r="B24" s="23"/>
      <c r="C24" s="24" t="s">
        <v>22</v>
      </c>
      <c r="D24" s="25"/>
      <c r="E24" s="25"/>
      <c r="F24" s="25">
        <v>5</v>
      </c>
      <c r="G24" s="25">
        <v>5</v>
      </c>
      <c r="H24" s="25">
        <v>5</v>
      </c>
      <c r="I24" s="25">
        <v>5</v>
      </c>
      <c r="J24" s="25">
        <v>5</v>
      </c>
      <c r="K24" s="25">
        <v>5</v>
      </c>
      <c r="L24" s="25">
        <v>5</v>
      </c>
      <c r="M24" s="25">
        <v>5</v>
      </c>
      <c r="N24" s="25">
        <v>5</v>
      </c>
      <c r="O24" s="25">
        <v>5</v>
      </c>
      <c r="P24" s="26">
        <f>SUM(D24:O24)</f>
        <v>50</v>
      </c>
    </row>
    <row r="25" spans="1:16" ht="14.1" customHeight="1" x14ac:dyDescent="0.25">
      <c r="A25" s="27"/>
      <c r="B25" s="27"/>
      <c r="C25" s="28" t="s">
        <v>30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 t="s">
        <v>31</v>
      </c>
    </row>
    <row r="26" spans="1:16" ht="14.1" customHeight="1" x14ac:dyDescent="0.25">
      <c r="A26" s="31"/>
      <c r="B26" s="31"/>
      <c r="C26" s="32" t="s">
        <v>25</v>
      </c>
      <c r="D26" s="33">
        <f t="shared" ref="D26:O26" si="5">IFERROR(D24*D25,0)</f>
        <v>0</v>
      </c>
      <c r="E26" s="33">
        <f t="shared" si="5"/>
        <v>0</v>
      </c>
      <c r="F26" s="33">
        <f t="shared" si="5"/>
        <v>0</v>
      </c>
      <c r="G26" s="33">
        <f t="shared" si="5"/>
        <v>0</v>
      </c>
      <c r="H26" s="33">
        <f t="shared" si="5"/>
        <v>0</v>
      </c>
      <c r="I26" s="33">
        <f t="shared" si="5"/>
        <v>0</v>
      </c>
      <c r="J26" s="33">
        <f t="shared" si="5"/>
        <v>0</v>
      </c>
      <c r="K26" s="33">
        <f t="shared" si="5"/>
        <v>0</v>
      </c>
      <c r="L26" s="33">
        <f t="shared" si="5"/>
        <v>0</v>
      </c>
      <c r="M26" s="33">
        <f t="shared" si="5"/>
        <v>0</v>
      </c>
      <c r="N26" s="33">
        <f t="shared" si="5"/>
        <v>0</v>
      </c>
      <c r="O26" s="33">
        <f t="shared" si="5"/>
        <v>0</v>
      </c>
      <c r="P26" s="74">
        <f>SUM(D26:O26)</f>
        <v>0</v>
      </c>
    </row>
    <row r="27" spans="1:16" ht="17.100000000000001" customHeight="1" x14ac:dyDescent="0.25">
      <c r="A27" s="22">
        <v>4</v>
      </c>
      <c r="B27" s="83" t="s">
        <v>33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5"/>
    </row>
    <row r="28" spans="1:16" ht="14.1" customHeight="1" x14ac:dyDescent="0.25">
      <c r="A28" s="23"/>
      <c r="B28" s="23"/>
      <c r="C28" s="24" t="s">
        <v>22</v>
      </c>
      <c r="D28" s="25"/>
      <c r="E28" s="25"/>
      <c r="F28" s="25">
        <v>4</v>
      </c>
      <c r="G28" s="25">
        <v>4</v>
      </c>
      <c r="H28" s="25">
        <v>4</v>
      </c>
      <c r="I28" s="25">
        <v>4</v>
      </c>
      <c r="J28" s="25">
        <v>4</v>
      </c>
      <c r="K28" s="25">
        <v>4</v>
      </c>
      <c r="L28" s="25">
        <v>4</v>
      </c>
      <c r="M28" s="25">
        <v>4</v>
      </c>
      <c r="N28" s="25">
        <v>4</v>
      </c>
      <c r="O28" s="25">
        <v>4</v>
      </c>
      <c r="P28" s="26">
        <f>SUM(D28:O28)</f>
        <v>40</v>
      </c>
    </row>
    <row r="29" spans="1:16" ht="14.1" customHeight="1" x14ac:dyDescent="0.25">
      <c r="A29" s="27"/>
      <c r="B29" s="27"/>
      <c r="C29" s="28" t="s">
        <v>30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 t="s">
        <v>31</v>
      </c>
    </row>
    <row r="30" spans="1:16" ht="14.1" customHeight="1" x14ac:dyDescent="0.25">
      <c r="A30" s="31"/>
      <c r="B30" s="31"/>
      <c r="C30" s="32" t="s">
        <v>25</v>
      </c>
      <c r="D30" s="33">
        <f t="shared" ref="D30:O30" si="6">IFERROR(D28*D29,0)</f>
        <v>0</v>
      </c>
      <c r="E30" s="33">
        <f t="shared" si="6"/>
        <v>0</v>
      </c>
      <c r="F30" s="33">
        <f t="shared" si="6"/>
        <v>0</v>
      </c>
      <c r="G30" s="33">
        <f t="shared" si="6"/>
        <v>0</v>
      </c>
      <c r="H30" s="33">
        <f t="shared" si="6"/>
        <v>0</v>
      </c>
      <c r="I30" s="33">
        <f t="shared" si="6"/>
        <v>0</v>
      </c>
      <c r="J30" s="33">
        <f t="shared" si="6"/>
        <v>0</v>
      </c>
      <c r="K30" s="33">
        <f t="shared" si="6"/>
        <v>0</v>
      </c>
      <c r="L30" s="33">
        <f t="shared" si="6"/>
        <v>0</v>
      </c>
      <c r="M30" s="33">
        <f t="shared" si="6"/>
        <v>0</v>
      </c>
      <c r="N30" s="33">
        <f t="shared" si="6"/>
        <v>0</v>
      </c>
      <c r="O30" s="33">
        <f t="shared" si="6"/>
        <v>0</v>
      </c>
      <c r="P30" s="74">
        <f>SUM(D30:O30)</f>
        <v>0</v>
      </c>
    </row>
    <row r="31" spans="1:16" ht="17.100000000000001" customHeight="1" x14ac:dyDescent="0.25">
      <c r="A31" s="22">
        <v>5</v>
      </c>
      <c r="B31" s="83" t="s">
        <v>34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5"/>
    </row>
    <row r="32" spans="1:16" ht="14.1" customHeight="1" x14ac:dyDescent="0.25">
      <c r="A32" s="23"/>
      <c r="B32" s="23"/>
      <c r="C32" s="24" t="s">
        <v>22</v>
      </c>
      <c r="D32" s="25"/>
      <c r="E32" s="25"/>
      <c r="F32" s="25">
        <v>1</v>
      </c>
      <c r="G32" s="25">
        <v>1</v>
      </c>
      <c r="H32" s="25">
        <v>1</v>
      </c>
      <c r="I32" s="25">
        <v>1</v>
      </c>
      <c r="J32" s="25">
        <v>1</v>
      </c>
      <c r="K32" s="25">
        <v>1</v>
      </c>
      <c r="L32" s="25">
        <v>1</v>
      </c>
      <c r="M32" s="25">
        <v>1</v>
      </c>
      <c r="N32" s="25">
        <v>1</v>
      </c>
      <c r="O32" s="25">
        <v>1</v>
      </c>
      <c r="P32" s="26">
        <f>SUM(D32:O32)</f>
        <v>10</v>
      </c>
    </row>
    <row r="33" spans="1:16" ht="14.1" customHeight="1" x14ac:dyDescent="0.25">
      <c r="A33" s="27"/>
      <c r="B33" s="27"/>
      <c r="C33" s="28" t="s">
        <v>30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 t="s">
        <v>31</v>
      </c>
    </row>
    <row r="34" spans="1:16" ht="14.1" customHeight="1" x14ac:dyDescent="0.25">
      <c r="A34" s="31"/>
      <c r="B34" s="31"/>
      <c r="C34" s="32" t="s">
        <v>25</v>
      </c>
      <c r="D34" s="33">
        <f t="shared" ref="D34:O34" si="7">IFERROR(D32*D33,0)</f>
        <v>0</v>
      </c>
      <c r="E34" s="33">
        <f t="shared" si="7"/>
        <v>0</v>
      </c>
      <c r="F34" s="33">
        <f t="shared" si="7"/>
        <v>0</v>
      </c>
      <c r="G34" s="33">
        <f t="shared" si="7"/>
        <v>0</v>
      </c>
      <c r="H34" s="33">
        <f t="shared" si="7"/>
        <v>0</v>
      </c>
      <c r="I34" s="33">
        <f t="shared" si="7"/>
        <v>0</v>
      </c>
      <c r="J34" s="33">
        <f t="shared" si="7"/>
        <v>0</v>
      </c>
      <c r="K34" s="33">
        <f t="shared" si="7"/>
        <v>0</v>
      </c>
      <c r="L34" s="33">
        <f t="shared" si="7"/>
        <v>0</v>
      </c>
      <c r="M34" s="33">
        <f t="shared" si="7"/>
        <v>0</v>
      </c>
      <c r="N34" s="33">
        <f t="shared" si="7"/>
        <v>0</v>
      </c>
      <c r="O34" s="33">
        <f t="shared" si="7"/>
        <v>0</v>
      </c>
      <c r="P34" s="74">
        <f>SUM(D34:O34)</f>
        <v>0</v>
      </c>
    </row>
    <row r="35" spans="1:16" ht="17.100000000000001" customHeight="1" x14ac:dyDescent="0.25">
      <c r="A35" s="22">
        <v>6</v>
      </c>
      <c r="B35" s="83" t="s">
        <v>35</v>
      </c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5"/>
    </row>
    <row r="36" spans="1:16" ht="14.1" customHeight="1" x14ac:dyDescent="0.25">
      <c r="A36" s="23"/>
      <c r="B36" s="23"/>
      <c r="C36" s="24" t="s">
        <v>22</v>
      </c>
      <c r="D36" s="25"/>
      <c r="E36" s="25"/>
      <c r="F36" s="25">
        <v>1</v>
      </c>
      <c r="G36" s="25">
        <v>1</v>
      </c>
      <c r="H36" s="25">
        <v>1</v>
      </c>
      <c r="I36" s="25">
        <v>1</v>
      </c>
      <c r="J36" s="25">
        <v>1</v>
      </c>
      <c r="K36" s="25">
        <v>1</v>
      </c>
      <c r="L36" s="25">
        <v>1</v>
      </c>
      <c r="M36" s="25">
        <v>1</v>
      </c>
      <c r="N36" s="25">
        <v>1</v>
      </c>
      <c r="O36" s="25">
        <v>1</v>
      </c>
      <c r="P36" s="26">
        <f>SUM(D36:O36)</f>
        <v>10</v>
      </c>
    </row>
    <row r="37" spans="1:16" ht="14.1" customHeight="1" x14ac:dyDescent="0.25">
      <c r="A37" s="27"/>
      <c r="B37" s="27"/>
      <c r="C37" s="28" t="s">
        <v>30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0" t="s">
        <v>31</v>
      </c>
    </row>
    <row r="38" spans="1:16" ht="14.1" customHeight="1" x14ac:dyDescent="0.25">
      <c r="A38" s="31"/>
      <c r="B38" s="31"/>
      <c r="C38" s="32" t="s">
        <v>25</v>
      </c>
      <c r="D38" s="33">
        <f t="shared" ref="D38:O38" si="8">IFERROR(D36*D37,0)</f>
        <v>0</v>
      </c>
      <c r="E38" s="33">
        <f t="shared" si="8"/>
        <v>0</v>
      </c>
      <c r="F38" s="33">
        <f t="shared" si="8"/>
        <v>0</v>
      </c>
      <c r="G38" s="33">
        <f t="shared" si="8"/>
        <v>0</v>
      </c>
      <c r="H38" s="33">
        <f t="shared" si="8"/>
        <v>0</v>
      </c>
      <c r="I38" s="33">
        <f t="shared" si="8"/>
        <v>0</v>
      </c>
      <c r="J38" s="33">
        <f t="shared" si="8"/>
        <v>0</v>
      </c>
      <c r="K38" s="33">
        <f t="shared" si="8"/>
        <v>0</v>
      </c>
      <c r="L38" s="33">
        <f t="shared" si="8"/>
        <v>0</v>
      </c>
      <c r="M38" s="33">
        <f t="shared" si="8"/>
        <v>0</v>
      </c>
      <c r="N38" s="33">
        <f t="shared" si="8"/>
        <v>0</v>
      </c>
      <c r="O38" s="33">
        <f t="shared" si="8"/>
        <v>0</v>
      </c>
      <c r="P38" s="74">
        <f>SUM(D38:O38)</f>
        <v>0</v>
      </c>
    </row>
    <row r="39" spans="1:16" ht="17.100000000000001" customHeight="1" x14ac:dyDescent="0.25">
      <c r="A39" s="22">
        <v>7</v>
      </c>
      <c r="B39" s="83" t="s">
        <v>36</v>
      </c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5"/>
    </row>
    <row r="40" spans="1:16" ht="14.1" customHeight="1" x14ac:dyDescent="0.25">
      <c r="A40" s="23"/>
      <c r="B40" s="23"/>
      <c r="C40" s="24" t="s">
        <v>22</v>
      </c>
      <c r="D40" s="25"/>
      <c r="E40" s="25"/>
      <c r="F40" s="25">
        <v>1</v>
      </c>
      <c r="G40" s="25">
        <v>1</v>
      </c>
      <c r="H40" s="25">
        <v>1</v>
      </c>
      <c r="I40" s="25">
        <v>1</v>
      </c>
      <c r="J40" s="25">
        <v>1</v>
      </c>
      <c r="K40" s="25">
        <v>1</v>
      </c>
      <c r="L40" s="25">
        <v>1</v>
      </c>
      <c r="M40" s="25">
        <v>1</v>
      </c>
      <c r="N40" s="25">
        <v>1</v>
      </c>
      <c r="O40" s="25">
        <v>1</v>
      </c>
      <c r="P40" s="26">
        <f>SUM(D40:O40)</f>
        <v>10</v>
      </c>
    </row>
    <row r="41" spans="1:16" ht="14.1" customHeight="1" x14ac:dyDescent="0.25">
      <c r="A41" s="27"/>
      <c r="B41" s="27"/>
      <c r="C41" s="28" t="s">
        <v>30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30" t="s">
        <v>31</v>
      </c>
    </row>
    <row r="42" spans="1:16" ht="14.1" customHeight="1" x14ac:dyDescent="0.25">
      <c r="A42" s="31"/>
      <c r="B42" s="31"/>
      <c r="C42" s="32" t="s">
        <v>25</v>
      </c>
      <c r="D42" s="33">
        <f t="shared" ref="D42:O42" si="9">IFERROR(D40*D41,0)</f>
        <v>0</v>
      </c>
      <c r="E42" s="33">
        <f t="shared" si="9"/>
        <v>0</v>
      </c>
      <c r="F42" s="33">
        <f t="shared" si="9"/>
        <v>0</v>
      </c>
      <c r="G42" s="33">
        <f t="shared" si="9"/>
        <v>0</v>
      </c>
      <c r="H42" s="33">
        <f t="shared" si="9"/>
        <v>0</v>
      </c>
      <c r="I42" s="33">
        <f t="shared" si="9"/>
        <v>0</v>
      </c>
      <c r="J42" s="33">
        <f t="shared" si="9"/>
        <v>0</v>
      </c>
      <c r="K42" s="33">
        <f t="shared" si="9"/>
        <v>0</v>
      </c>
      <c r="L42" s="33">
        <f t="shared" si="9"/>
        <v>0</v>
      </c>
      <c r="M42" s="33">
        <f t="shared" si="9"/>
        <v>0</v>
      </c>
      <c r="N42" s="33">
        <f t="shared" si="9"/>
        <v>0</v>
      </c>
      <c r="O42" s="33">
        <f t="shared" si="9"/>
        <v>0</v>
      </c>
      <c r="P42" s="74">
        <f>SUM(D42:O42)</f>
        <v>0</v>
      </c>
    </row>
    <row r="43" spans="1:16" ht="17.100000000000001" customHeight="1" x14ac:dyDescent="0.25">
      <c r="A43" s="22">
        <v>8</v>
      </c>
      <c r="B43" s="83" t="s">
        <v>37</v>
      </c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5"/>
    </row>
    <row r="44" spans="1:16" ht="14.1" customHeight="1" x14ac:dyDescent="0.25">
      <c r="A44" s="23"/>
      <c r="B44" s="23"/>
      <c r="C44" s="24" t="s">
        <v>22</v>
      </c>
      <c r="D44" s="25"/>
      <c r="E44" s="25"/>
      <c r="F44" s="25">
        <v>1</v>
      </c>
      <c r="G44" s="25">
        <v>1</v>
      </c>
      <c r="H44" s="25">
        <v>1</v>
      </c>
      <c r="I44" s="25">
        <v>1</v>
      </c>
      <c r="J44" s="25">
        <v>1</v>
      </c>
      <c r="K44" s="25">
        <v>1</v>
      </c>
      <c r="L44" s="25">
        <v>1</v>
      </c>
      <c r="M44" s="25">
        <v>1</v>
      </c>
      <c r="N44" s="25">
        <v>1</v>
      </c>
      <c r="O44" s="25">
        <v>1</v>
      </c>
      <c r="P44" s="26">
        <f>SUM(D44:O44)</f>
        <v>10</v>
      </c>
    </row>
    <row r="45" spans="1:16" ht="14.1" customHeight="1" x14ac:dyDescent="0.25">
      <c r="A45" s="27"/>
      <c r="B45" s="27"/>
      <c r="C45" s="28" t="s">
        <v>30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0" t="s">
        <v>31</v>
      </c>
    </row>
    <row r="46" spans="1:16" ht="14.1" customHeight="1" x14ac:dyDescent="0.25">
      <c r="A46" s="31"/>
      <c r="B46" s="31"/>
      <c r="C46" s="32" t="s">
        <v>25</v>
      </c>
      <c r="D46" s="33">
        <f t="shared" ref="D46:O46" si="10">IFERROR(D44*D45,0)</f>
        <v>0</v>
      </c>
      <c r="E46" s="33">
        <f t="shared" si="10"/>
        <v>0</v>
      </c>
      <c r="F46" s="33">
        <f t="shared" si="10"/>
        <v>0</v>
      </c>
      <c r="G46" s="33">
        <f t="shared" si="10"/>
        <v>0</v>
      </c>
      <c r="H46" s="33">
        <f t="shared" si="10"/>
        <v>0</v>
      </c>
      <c r="I46" s="33">
        <f t="shared" si="10"/>
        <v>0</v>
      </c>
      <c r="J46" s="33">
        <f t="shared" si="10"/>
        <v>0</v>
      </c>
      <c r="K46" s="33">
        <f t="shared" si="10"/>
        <v>0</v>
      </c>
      <c r="L46" s="33">
        <f t="shared" si="10"/>
        <v>0</v>
      </c>
      <c r="M46" s="33">
        <f t="shared" si="10"/>
        <v>0</v>
      </c>
      <c r="N46" s="33">
        <f t="shared" si="10"/>
        <v>0</v>
      </c>
      <c r="O46" s="33">
        <f t="shared" si="10"/>
        <v>0</v>
      </c>
      <c r="P46" s="74">
        <f>SUM(D46:O46)</f>
        <v>0</v>
      </c>
    </row>
    <row r="47" spans="1:16" ht="17.100000000000001" customHeight="1" x14ac:dyDescent="0.25">
      <c r="A47" s="22">
        <v>9</v>
      </c>
      <c r="B47" s="83" t="s">
        <v>38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5"/>
    </row>
    <row r="48" spans="1:16" ht="14.1" customHeight="1" x14ac:dyDescent="0.25">
      <c r="A48" s="23"/>
      <c r="B48" s="23"/>
      <c r="C48" s="24" t="s">
        <v>22</v>
      </c>
      <c r="D48" s="25"/>
      <c r="E48" s="25"/>
      <c r="F48" s="25">
        <v>2</v>
      </c>
      <c r="G48" s="25">
        <v>2</v>
      </c>
      <c r="H48" s="25">
        <v>2</v>
      </c>
      <c r="I48" s="25">
        <v>2</v>
      </c>
      <c r="J48" s="25">
        <v>2</v>
      </c>
      <c r="K48" s="25">
        <v>2</v>
      </c>
      <c r="L48" s="25">
        <v>2</v>
      </c>
      <c r="M48" s="25">
        <v>2</v>
      </c>
      <c r="N48" s="25">
        <v>2</v>
      </c>
      <c r="O48" s="25">
        <v>2</v>
      </c>
      <c r="P48" s="26">
        <f>SUM(D48:O48)</f>
        <v>20</v>
      </c>
    </row>
    <row r="49" spans="1:16" ht="14.1" customHeight="1" x14ac:dyDescent="0.25">
      <c r="A49" s="27"/>
      <c r="B49" s="27"/>
      <c r="C49" s="28" t="s">
        <v>30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0" t="s">
        <v>31</v>
      </c>
    </row>
    <row r="50" spans="1:16" ht="14.1" customHeight="1" x14ac:dyDescent="0.25">
      <c r="A50" s="31"/>
      <c r="B50" s="31"/>
      <c r="C50" s="32" t="s">
        <v>25</v>
      </c>
      <c r="D50" s="33">
        <f t="shared" ref="D50:O50" si="11">IFERROR(D48*D49,0)</f>
        <v>0</v>
      </c>
      <c r="E50" s="33">
        <f t="shared" si="11"/>
        <v>0</v>
      </c>
      <c r="F50" s="33">
        <f t="shared" si="11"/>
        <v>0</v>
      </c>
      <c r="G50" s="33">
        <f t="shared" si="11"/>
        <v>0</v>
      </c>
      <c r="H50" s="33">
        <f t="shared" si="11"/>
        <v>0</v>
      </c>
      <c r="I50" s="33">
        <f t="shared" si="11"/>
        <v>0</v>
      </c>
      <c r="J50" s="33">
        <f t="shared" si="11"/>
        <v>0</v>
      </c>
      <c r="K50" s="33">
        <f t="shared" si="11"/>
        <v>0</v>
      </c>
      <c r="L50" s="33">
        <f t="shared" si="11"/>
        <v>0</v>
      </c>
      <c r="M50" s="33">
        <f t="shared" si="11"/>
        <v>0</v>
      </c>
      <c r="N50" s="33">
        <f t="shared" si="11"/>
        <v>0</v>
      </c>
      <c r="O50" s="33">
        <f t="shared" si="11"/>
        <v>0</v>
      </c>
      <c r="P50" s="74">
        <f>SUM(D50:O50)</f>
        <v>0</v>
      </c>
    </row>
    <row r="52" spans="1:16" ht="20.100000000000001" customHeight="1" x14ac:dyDescent="0.25">
      <c r="A52" s="95" t="s">
        <v>39</v>
      </c>
      <c r="B52" s="96"/>
      <c r="C52" s="96"/>
      <c r="D52" s="34">
        <f t="shared" ref="D52:O52" si="12">D18+D22+D26+D30+D34+D38+D42+D46+D50</f>
        <v>798000</v>
      </c>
      <c r="E52" s="34">
        <f t="shared" si="12"/>
        <v>798000</v>
      </c>
      <c r="F52" s="34">
        <f t="shared" si="12"/>
        <v>798000</v>
      </c>
      <c r="G52" s="34">
        <f t="shared" si="12"/>
        <v>798000</v>
      </c>
      <c r="H52" s="34">
        <f t="shared" si="12"/>
        <v>798000</v>
      </c>
      <c r="I52" s="34">
        <f t="shared" si="12"/>
        <v>798000</v>
      </c>
      <c r="J52" s="34">
        <f t="shared" si="12"/>
        <v>798000</v>
      </c>
      <c r="K52" s="34">
        <f t="shared" si="12"/>
        <v>798000</v>
      </c>
      <c r="L52" s="34">
        <f t="shared" si="12"/>
        <v>748000</v>
      </c>
      <c r="M52" s="34">
        <f t="shared" si="12"/>
        <v>748000</v>
      </c>
      <c r="N52" s="34">
        <f t="shared" si="12"/>
        <v>748000</v>
      </c>
      <c r="O52" s="34">
        <f t="shared" si="12"/>
        <v>748000</v>
      </c>
      <c r="P52" s="35">
        <f>SUM(D52:O52)</f>
        <v>9376000</v>
      </c>
    </row>
    <row r="54" spans="1:16" ht="15.95" customHeight="1" x14ac:dyDescent="0.25">
      <c r="A54" s="100" t="s">
        <v>40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5"/>
    </row>
    <row r="55" spans="1:16" ht="15" customHeight="1" x14ac:dyDescent="0.25">
      <c r="A55" s="90" t="s">
        <v>41</v>
      </c>
      <c r="B55" s="84"/>
      <c r="C55" s="85"/>
      <c r="D55" s="75">
        <f t="shared" ref="D55:O55" si="13">D52*0.3</f>
        <v>239400</v>
      </c>
      <c r="E55" s="75">
        <f t="shared" si="13"/>
        <v>239400</v>
      </c>
      <c r="F55" s="75">
        <f t="shared" si="13"/>
        <v>239400</v>
      </c>
      <c r="G55" s="75">
        <f t="shared" si="13"/>
        <v>239400</v>
      </c>
      <c r="H55" s="75">
        <f t="shared" si="13"/>
        <v>239400</v>
      </c>
      <c r="I55" s="75">
        <f t="shared" si="13"/>
        <v>239400</v>
      </c>
      <c r="J55" s="75">
        <f t="shared" si="13"/>
        <v>239400</v>
      </c>
      <c r="K55" s="75">
        <f t="shared" si="13"/>
        <v>239400</v>
      </c>
      <c r="L55" s="75">
        <f t="shared" si="13"/>
        <v>224400</v>
      </c>
      <c r="M55" s="75">
        <f t="shared" si="13"/>
        <v>224400</v>
      </c>
      <c r="N55" s="75">
        <f t="shared" si="13"/>
        <v>224400</v>
      </c>
      <c r="O55" s="75">
        <f t="shared" si="13"/>
        <v>224400</v>
      </c>
      <c r="P55" s="76">
        <f t="shared" ref="P55:P60" si="14">SUM(D55:O55)</f>
        <v>2812800</v>
      </c>
    </row>
    <row r="56" spans="1:16" ht="15" customHeight="1" x14ac:dyDescent="0.25">
      <c r="A56" s="89" t="s">
        <v>42</v>
      </c>
      <c r="B56" s="84"/>
      <c r="C56" s="85"/>
      <c r="D56" s="77">
        <f t="shared" ref="D56:O56" si="15">D52*0.03</f>
        <v>23940</v>
      </c>
      <c r="E56" s="77">
        <f t="shared" si="15"/>
        <v>23940</v>
      </c>
      <c r="F56" s="77">
        <f t="shared" si="15"/>
        <v>23940</v>
      </c>
      <c r="G56" s="77">
        <f t="shared" si="15"/>
        <v>23940</v>
      </c>
      <c r="H56" s="77">
        <f t="shared" si="15"/>
        <v>23940</v>
      </c>
      <c r="I56" s="77">
        <f t="shared" si="15"/>
        <v>23940</v>
      </c>
      <c r="J56" s="77">
        <f t="shared" si="15"/>
        <v>23940</v>
      </c>
      <c r="K56" s="77">
        <f t="shared" si="15"/>
        <v>23940</v>
      </c>
      <c r="L56" s="77">
        <f t="shared" si="15"/>
        <v>22440</v>
      </c>
      <c r="M56" s="77">
        <f t="shared" si="15"/>
        <v>22440</v>
      </c>
      <c r="N56" s="77">
        <f t="shared" si="15"/>
        <v>22440</v>
      </c>
      <c r="O56" s="77">
        <f t="shared" si="15"/>
        <v>22440</v>
      </c>
      <c r="P56" s="78">
        <f t="shared" si="14"/>
        <v>281280</v>
      </c>
    </row>
    <row r="57" spans="1:16" ht="15" customHeight="1" x14ac:dyDescent="0.25">
      <c r="A57" s="91" t="s">
        <v>43</v>
      </c>
      <c r="B57" s="84"/>
      <c r="C57" s="85"/>
      <c r="D57" s="79">
        <f t="shared" ref="D57:O57" si="16">D52*0.02</f>
        <v>15960</v>
      </c>
      <c r="E57" s="79">
        <f t="shared" si="16"/>
        <v>15960</v>
      </c>
      <c r="F57" s="79">
        <f t="shared" si="16"/>
        <v>15960</v>
      </c>
      <c r="G57" s="79">
        <f t="shared" si="16"/>
        <v>15960</v>
      </c>
      <c r="H57" s="79">
        <f t="shared" si="16"/>
        <v>15960</v>
      </c>
      <c r="I57" s="79">
        <f t="shared" si="16"/>
        <v>15960</v>
      </c>
      <c r="J57" s="79">
        <f t="shared" si="16"/>
        <v>15960</v>
      </c>
      <c r="K57" s="79">
        <f t="shared" si="16"/>
        <v>15960</v>
      </c>
      <c r="L57" s="79">
        <f t="shared" si="16"/>
        <v>14960</v>
      </c>
      <c r="M57" s="79">
        <f t="shared" si="16"/>
        <v>14960</v>
      </c>
      <c r="N57" s="79">
        <f t="shared" si="16"/>
        <v>14960</v>
      </c>
      <c r="O57" s="79">
        <f t="shared" si="16"/>
        <v>14960</v>
      </c>
      <c r="P57" s="80">
        <f t="shared" si="14"/>
        <v>187520</v>
      </c>
    </row>
    <row r="58" spans="1:16" ht="15" customHeight="1" x14ac:dyDescent="0.25">
      <c r="A58" s="91" t="s">
        <v>44</v>
      </c>
      <c r="B58" s="84"/>
      <c r="C58" s="85"/>
      <c r="D58" s="79">
        <f t="shared" ref="D58:O58" si="17">D52*0.02</f>
        <v>15960</v>
      </c>
      <c r="E58" s="79">
        <f t="shared" si="17"/>
        <v>15960</v>
      </c>
      <c r="F58" s="79">
        <f t="shared" si="17"/>
        <v>15960</v>
      </c>
      <c r="G58" s="79">
        <f t="shared" si="17"/>
        <v>15960</v>
      </c>
      <c r="H58" s="79">
        <f t="shared" si="17"/>
        <v>15960</v>
      </c>
      <c r="I58" s="79">
        <f t="shared" si="17"/>
        <v>15960</v>
      </c>
      <c r="J58" s="79">
        <f t="shared" si="17"/>
        <v>15960</v>
      </c>
      <c r="K58" s="79">
        <f t="shared" si="17"/>
        <v>15960</v>
      </c>
      <c r="L58" s="79">
        <f t="shared" si="17"/>
        <v>14960</v>
      </c>
      <c r="M58" s="79">
        <f t="shared" si="17"/>
        <v>14960</v>
      </c>
      <c r="N58" s="79">
        <f t="shared" si="17"/>
        <v>14960</v>
      </c>
      <c r="O58" s="79">
        <f t="shared" si="17"/>
        <v>14960</v>
      </c>
      <c r="P58" s="80">
        <f t="shared" si="14"/>
        <v>187520</v>
      </c>
    </row>
    <row r="59" spans="1:16" ht="15" customHeight="1" x14ac:dyDescent="0.25">
      <c r="A59" s="91" t="s">
        <v>45</v>
      </c>
      <c r="B59" s="84"/>
      <c r="C59" s="85"/>
      <c r="D59" s="79">
        <f t="shared" ref="D59:O59" si="18">D52*0.004</f>
        <v>3192</v>
      </c>
      <c r="E59" s="79">
        <f t="shared" si="18"/>
        <v>3192</v>
      </c>
      <c r="F59" s="79">
        <f t="shared" si="18"/>
        <v>3192</v>
      </c>
      <c r="G59" s="79">
        <f t="shared" si="18"/>
        <v>3192</v>
      </c>
      <c r="H59" s="79">
        <f t="shared" si="18"/>
        <v>3192</v>
      </c>
      <c r="I59" s="79">
        <f t="shared" si="18"/>
        <v>3192</v>
      </c>
      <c r="J59" s="79">
        <f t="shared" si="18"/>
        <v>3192</v>
      </c>
      <c r="K59" s="79">
        <f t="shared" si="18"/>
        <v>3192</v>
      </c>
      <c r="L59" s="79">
        <f t="shared" si="18"/>
        <v>2992</v>
      </c>
      <c r="M59" s="79">
        <f t="shared" si="18"/>
        <v>2992</v>
      </c>
      <c r="N59" s="79">
        <f t="shared" si="18"/>
        <v>2992</v>
      </c>
      <c r="O59" s="79">
        <f t="shared" si="18"/>
        <v>2992</v>
      </c>
      <c r="P59" s="80">
        <f t="shared" si="14"/>
        <v>37504</v>
      </c>
    </row>
    <row r="60" spans="1:16" ht="15.95" customHeight="1" x14ac:dyDescent="0.25">
      <c r="A60" s="101" t="s">
        <v>46</v>
      </c>
      <c r="B60" s="102"/>
      <c r="C60" s="103"/>
      <c r="D60" s="81">
        <f t="shared" ref="D60:O60" si="19">D55+D56+D57+D58+D59</f>
        <v>298452</v>
      </c>
      <c r="E60" s="81">
        <f t="shared" si="19"/>
        <v>298452</v>
      </c>
      <c r="F60" s="81">
        <f t="shared" si="19"/>
        <v>298452</v>
      </c>
      <c r="G60" s="81">
        <f t="shared" si="19"/>
        <v>298452</v>
      </c>
      <c r="H60" s="81">
        <f t="shared" si="19"/>
        <v>298452</v>
      </c>
      <c r="I60" s="81">
        <f t="shared" si="19"/>
        <v>298452</v>
      </c>
      <c r="J60" s="81">
        <f t="shared" si="19"/>
        <v>298452</v>
      </c>
      <c r="K60" s="81">
        <f t="shared" si="19"/>
        <v>298452</v>
      </c>
      <c r="L60" s="81">
        <f t="shared" si="19"/>
        <v>279752</v>
      </c>
      <c r="M60" s="81">
        <f t="shared" si="19"/>
        <v>279752</v>
      </c>
      <c r="N60" s="81">
        <f t="shared" si="19"/>
        <v>279752</v>
      </c>
      <c r="O60" s="81">
        <f t="shared" si="19"/>
        <v>279752</v>
      </c>
      <c r="P60" s="82">
        <f t="shared" si="14"/>
        <v>3506624</v>
      </c>
    </row>
    <row r="61" spans="1:16" ht="21.95" customHeight="1" x14ac:dyDescent="0.25">
      <c r="A61" s="104" t="s">
        <v>47</v>
      </c>
      <c r="B61" s="102"/>
      <c r="C61" s="103"/>
      <c r="D61" s="34">
        <f t="shared" ref="D61:P61" si="20">D52-D60</f>
        <v>499548</v>
      </c>
      <c r="E61" s="34">
        <f t="shared" si="20"/>
        <v>499548</v>
      </c>
      <c r="F61" s="34">
        <f t="shared" si="20"/>
        <v>499548</v>
      </c>
      <c r="G61" s="34">
        <f t="shared" si="20"/>
        <v>499548</v>
      </c>
      <c r="H61" s="34">
        <f t="shared" si="20"/>
        <v>499548</v>
      </c>
      <c r="I61" s="34">
        <f t="shared" si="20"/>
        <v>499548</v>
      </c>
      <c r="J61" s="34">
        <f t="shared" si="20"/>
        <v>499548</v>
      </c>
      <c r="K61" s="34">
        <f t="shared" si="20"/>
        <v>499548</v>
      </c>
      <c r="L61" s="34">
        <f t="shared" si="20"/>
        <v>468248</v>
      </c>
      <c r="M61" s="34">
        <f t="shared" si="20"/>
        <v>468248</v>
      </c>
      <c r="N61" s="34">
        <f t="shared" si="20"/>
        <v>468248</v>
      </c>
      <c r="O61" s="34">
        <f t="shared" si="20"/>
        <v>468248</v>
      </c>
      <c r="P61" s="73">
        <f t="shared" si="20"/>
        <v>5869376</v>
      </c>
    </row>
    <row r="63" spans="1:16" ht="36" customHeight="1" x14ac:dyDescent="0.25">
      <c r="A63" s="92" t="s">
        <v>48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</row>
  </sheetData>
  <mergeCells count="26">
    <mergeCell ref="B6:P6"/>
    <mergeCell ref="A1:P1"/>
    <mergeCell ref="B5:P5"/>
    <mergeCell ref="A58:C58"/>
    <mergeCell ref="B35:P35"/>
    <mergeCell ref="A54:P54"/>
    <mergeCell ref="B47:P47"/>
    <mergeCell ref="B31:P31"/>
    <mergeCell ref="B27:P27"/>
    <mergeCell ref="A3:P3"/>
    <mergeCell ref="A2:P2"/>
    <mergeCell ref="A56:C56"/>
    <mergeCell ref="A55:C55"/>
    <mergeCell ref="A57:C57"/>
    <mergeCell ref="A63:P63"/>
    <mergeCell ref="B10:P10"/>
    <mergeCell ref="B19:P19"/>
    <mergeCell ref="A52:C52"/>
    <mergeCell ref="A59:C59"/>
    <mergeCell ref="A60:C60"/>
    <mergeCell ref="A61:C61"/>
    <mergeCell ref="B43:P43"/>
    <mergeCell ref="B39:P39"/>
    <mergeCell ref="B14:P14"/>
    <mergeCell ref="A18:C18"/>
    <mergeCell ref="B23:P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1012"/>
  <sheetViews>
    <sheetView tabSelected="1" workbookViewId="0">
      <selection activeCell="R58" sqref="R58"/>
    </sheetView>
  </sheetViews>
  <sheetFormatPr defaultColWidth="12.625" defaultRowHeight="15.75" x14ac:dyDescent="0.25"/>
  <cols>
    <col min="2" max="2" width="38.375" bestFit="1" customWidth="1"/>
    <col min="3" max="3" width="17.125" customWidth="1"/>
    <col min="9" max="9" width="14.125" bestFit="1" customWidth="1"/>
  </cols>
  <sheetData>
    <row r="1" spans="1:97" ht="15.75" customHeight="1" x14ac:dyDescent="0.25">
      <c r="A1" s="1"/>
      <c r="B1" s="1"/>
      <c r="C1" s="2"/>
      <c r="D1" s="110" t="s">
        <v>49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/>
      <c r="P1" s="110" t="s">
        <v>50</v>
      </c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9"/>
      <c r="AB1" s="110" t="s">
        <v>51</v>
      </c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9"/>
      <c r="AN1" s="110" t="s">
        <v>52</v>
      </c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9"/>
      <c r="AZ1" s="110" t="s">
        <v>53</v>
      </c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9"/>
      <c r="BL1" s="110" t="s">
        <v>54</v>
      </c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9"/>
      <c r="BX1" s="110" t="s">
        <v>55</v>
      </c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9"/>
      <c r="CJ1" s="113"/>
      <c r="CK1" s="93"/>
      <c r="CL1" s="93"/>
      <c r="CM1" s="93"/>
      <c r="CN1" s="93"/>
      <c r="CO1" s="93"/>
      <c r="CP1" s="93"/>
      <c r="CQ1" s="93"/>
      <c r="CR1" s="93"/>
      <c r="CS1" s="93"/>
    </row>
    <row r="2" spans="1:97" ht="15.75" customHeight="1" x14ac:dyDescent="0.25">
      <c r="A2" s="1"/>
      <c r="B2" s="1"/>
      <c r="C2" s="1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3"/>
      <c r="CK2" s="3"/>
      <c r="CL2" s="3"/>
      <c r="CM2" s="3"/>
      <c r="CN2" s="3"/>
      <c r="CO2" s="3"/>
      <c r="CP2" s="3"/>
      <c r="CQ2" s="3"/>
      <c r="CR2" s="3"/>
      <c r="CS2" s="4"/>
    </row>
    <row r="3" spans="1:97" ht="15.75" customHeight="1" x14ac:dyDescent="0.25">
      <c r="A3" s="1" t="s">
        <v>56</v>
      </c>
      <c r="B3" s="1" t="s">
        <v>57</v>
      </c>
      <c r="C3" s="1" t="s">
        <v>58</v>
      </c>
      <c r="D3" s="5">
        <v>46113</v>
      </c>
      <c r="E3" s="5">
        <v>46143</v>
      </c>
      <c r="F3" s="5">
        <v>46174</v>
      </c>
      <c r="G3" s="5">
        <v>46204</v>
      </c>
      <c r="H3" s="5">
        <v>46235</v>
      </c>
      <c r="I3" s="5">
        <v>46266</v>
      </c>
      <c r="J3" s="5">
        <v>46296</v>
      </c>
      <c r="K3" s="5">
        <v>46327</v>
      </c>
      <c r="L3" s="5">
        <v>46357</v>
      </c>
      <c r="M3" s="5">
        <v>46388</v>
      </c>
      <c r="N3" s="5">
        <v>46419</v>
      </c>
      <c r="O3" s="5">
        <v>46447</v>
      </c>
      <c r="P3" s="5">
        <v>46478</v>
      </c>
      <c r="Q3" s="5">
        <v>46508</v>
      </c>
      <c r="R3" s="5">
        <v>46539</v>
      </c>
      <c r="S3" s="5">
        <v>46569</v>
      </c>
      <c r="T3" s="5">
        <v>46600</v>
      </c>
      <c r="U3" s="5">
        <v>46631</v>
      </c>
      <c r="V3" s="5">
        <v>46661</v>
      </c>
      <c r="W3" s="5">
        <v>46692</v>
      </c>
      <c r="X3" s="5">
        <v>46722</v>
      </c>
      <c r="Y3" s="5">
        <v>46753</v>
      </c>
      <c r="Z3" s="5">
        <v>46784</v>
      </c>
      <c r="AA3" s="5">
        <v>46813</v>
      </c>
      <c r="AB3" s="5">
        <v>46844</v>
      </c>
      <c r="AC3" s="5">
        <v>46874</v>
      </c>
      <c r="AD3" s="5">
        <v>46905</v>
      </c>
      <c r="AE3" s="5">
        <v>46935</v>
      </c>
      <c r="AF3" s="5">
        <v>46966</v>
      </c>
      <c r="AG3" s="5">
        <v>46997</v>
      </c>
      <c r="AH3" s="5">
        <v>47027</v>
      </c>
      <c r="AI3" s="5">
        <v>47058</v>
      </c>
      <c r="AJ3" s="5">
        <v>47088</v>
      </c>
      <c r="AK3" s="5">
        <v>47119</v>
      </c>
      <c r="AL3" s="5">
        <v>47150</v>
      </c>
      <c r="AM3" s="5">
        <v>47178</v>
      </c>
      <c r="AN3" s="5">
        <v>47209</v>
      </c>
      <c r="AO3" s="5">
        <v>47239</v>
      </c>
      <c r="AP3" s="5">
        <v>47270</v>
      </c>
      <c r="AQ3" s="5">
        <v>47300</v>
      </c>
      <c r="AR3" s="5">
        <v>47331</v>
      </c>
      <c r="AS3" s="5">
        <v>47362</v>
      </c>
      <c r="AT3" s="5">
        <v>47392</v>
      </c>
      <c r="AU3" s="5">
        <v>47423</v>
      </c>
      <c r="AV3" s="5">
        <v>47453</v>
      </c>
      <c r="AW3" s="5">
        <v>47484</v>
      </c>
      <c r="AX3" s="5">
        <v>47515</v>
      </c>
      <c r="AY3" s="5">
        <v>47543</v>
      </c>
      <c r="AZ3" s="5">
        <v>47574</v>
      </c>
      <c r="BA3" s="5">
        <v>47604</v>
      </c>
      <c r="BB3" s="5">
        <v>47635</v>
      </c>
      <c r="BC3" s="5">
        <v>47665</v>
      </c>
      <c r="BD3" s="5">
        <v>47696</v>
      </c>
      <c r="BE3" s="5">
        <v>47727</v>
      </c>
      <c r="BF3" s="5">
        <v>47757</v>
      </c>
      <c r="BG3" s="5">
        <v>47788</v>
      </c>
      <c r="BH3" s="5">
        <v>47818</v>
      </c>
      <c r="BI3" s="5">
        <v>47849</v>
      </c>
      <c r="BJ3" s="5">
        <v>47880</v>
      </c>
      <c r="BK3" s="5">
        <v>47908</v>
      </c>
      <c r="BL3" s="5">
        <v>47939</v>
      </c>
      <c r="BM3" s="5">
        <v>47969</v>
      </c>
      <c r="BN3" s="5">
        <v>48000</v>
      </c>
      <c r="BO3" s="5">
        <v>48030</v>
      </c>
      <c r="BP3" s="5">
        <v>48061</v>
      </c>
      <c r="BQ3" s="5">
        <v>48092</v>
      </c>
      <c r="BR3" s="5">
        <v>48122</v>
      </c>
      <c r="BS3" s="5">
        <v>48153</v>
      </c>
      <c r="BT3" s="5">
        <v>48183</v>
      </c>
      <c r="BU3" s="5">
        <v>48214</v>
      </c>
      <c r="BV3" s="5">
        <v>48245</v>
      </c>
      <c r="BW3" s="5">
        <v>48274</v>
      </c>
      <c r="BX3" s="5">
        <v>48305</v>
      </c>
      <c r="BY3" s="5">
        <v>48335</v>
      </c>
      <c r="BZ3" s="5">
        <v>48366</v>
      </c>
      <c r="CA3" s="5">
        <v>48396</v>
      </c>
      <c r="CB3" s="5">
        <v>48427</v>
      </c>
      <c r="CC3" s="5">
        <v>48458</v>
      </c>
      <c r="CD3" s="5">
        <v>48488</v>
      </c>
      <c r="CE3" s="5">
        <v>48519</v>
      </c>
      <c r="CF3" s="5">
        <v>48549</v>
      </c>
      <c r="CG3" s="5">
        <v>48580</v>
      </c>
      <c r="CH3" s="5">
        <v>48611</v>
      </c>
      <c r="CI3" s="5">
        <v>48639</v>
      </c>
      <c r="CJ3" s="3"/>
      <c r="CK3" s="3"/>
      <c r="CL3" s="3"/>
      <c r="CM3" s="3"/>
      <c r="CN3" s="3"/>
      <c r="CO3" s="3"/>
      <c r="CP3" s="3"/>
      <c r="CQ3" s="3"/>
      <c r="CR3" s="3"/>
      <c r="CS3" s="4"/>
    </row>
    <row r="4" spans="1:97" ht="15.75" customHeight="1" x14ac:dyDescent="0.25">
      <c r="A4" s="20" t="s">
        <v>59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</row>
    <row r="5" spans="1:97" ht="15.75" customHeight="1" x14ac:dyDescent="0.25">
      <c r="A5" t="s">
        <v>60</v>
      </c>
      <c r="B5" t="s">
        <v>61</v>
      </c>
      <c r="C5" t="s">
        <v>62</v>
      </c>
    </row>
    <row r="6" spans="1:97" ht="15.75" customHeight="1" x14ac:dyDescent="0.25">
      <c r="A6" t="s">
        <v>63</v>
      </c>
      <c r="B6">
        <v>99</v>
      </c>
      <c r="C6" t="s">
        <v>64</v>
      </c>
    </row>
    <row r="7" spans="1:97" ht="15.75" customHeight="1" x14ac:dyDescent="0.25">
      <c r="A7" t="s">
        <v>65</v>
      </c>
      <c r="B7">
        <v>299</v>
      </c>
      <c r="C7" t="s">
        <v>66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</row>
    <row r="8" spans="1:97" ht="15.75" customHeight="1" x14ac:dyDescent="0.25">
      <c r="A8" t="s">
        <v>67</v>
      </c>
      <c r="B8">
        <v>999</v>
      </c>
      <c r="C8" t="s">
        <v>68</v>
      </c>
      <c r="D8">
        <v>149</v>
      </c>
      <c r="E8">
        <v>149</v>
      </c>
      <c r="F8">
        <v>149</v>
      </c>
      <c r="G8">
        <v>149</v>
      </c>
      <c r="H8">
        <v>149</v>
      </c>
      <c r="I8">
        <v>149</v>
      </c>
      <c r="J8">
        <v>149</v>
      </c>
      <c r="K8">
        <v>149</v>
      </c>
    </row>
    <row r="9" spans="1:97" ht="15.75" customHeight="1" x14ac:dyDescent="0.25">
      <c r="A9" s="1"/>
      <c r="B9" t="s">
        <v>69</v>
      </c>
      <c r="C9" s="1" t="s">
        <v>70</v>
      </c>
      <c r="D9" s="5"/>
      <c r="E9" s="5"/>
      <c r="F9" s="5"/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25</v>
      </c>
      <c r="Q9" s="1">
        <v>25</v>
      </c>
      <c r="R9" s="1">
        <v>25</v>
      </c>
      <c r="S9" s="1">
        <v>25</v>
      </c>
      <c r="T9" s="1">
        <v>25</v>
      </c>
      <c r="U9" s="1">
        <v>25</v>
      </c>
      <c r="V9" s="1">
        <v>25</v>
      </c>
      <c r="W9" s="1">
        <v>25</v>
      </c>
      <c r="X9" s="1">
        <v>25</v>
      </c>
      <c r="Y9" s="1">
        <v>25</v>
      </c>
      <c r="Z9" s="1">
        <v>25</v>
      </c>
      <c r="AA9" s="1">
        <v>25</v>
      </c>
      <c r="AB9" s="1">
        <v>50</v>
      </c>
      <c r="AC9" s="1">
        <v>50</v>
      </c>
      <c r="AD9" s="1">
        <v>50</v>
      </c>
      <c r="AE9" s="1">
        <v>50</v>
      </c>
      <c r="AF9" s="1">
        <v>50</v>
      </c>
      <c r="AG9" s="1">
        <v>50</v>
      </c>
      <c r="AH9" s="1">
        <v>50</v>
      </c>
      <c r="AI9" s="1">
        <v>50</v>
      </c>
      <c r="AJ9" s="1">
        <v>50</v>
      </c>
      <c r="AK9" s="1">
        <v>50</v>
      </c>
      <c r="AL9" s="1">
        <v>50</v>
      </c>
      <c r="AM9" s="1">
        <v>50</v>
      </c>
      <c r="AN9" s="1">
        <v>100</v>
      </c>
      <c r="AO9" s="1">
        <v>100</v>
      </c>
      <c r="AP9" s="1">
        <v>100</v>
      </c>
      <c r="AQ9" s="1">
        <v>100</v>
      </c>
      <c r="AR9" s="1">
        <v>100</v>
      </c>
      <c r="AS9" s="1">
        <v>100</v>
      </c>
      <c r="AT9" s="1">
        <v>100</v>
      </c>
      <c r="AU9" s="1">
        <v>100</v>
      </c>
      <c r="AV9" s="1">
        <v>100</v>
      </c>
      <c r="AW9" s="1">
        <v>100</v>
      </c>
      <c r="AX9" s="1">
        <v>100</v>
      </c>
      <c r="AY9" s="1">
        <v>100</v>
      </c>
      <c r="AZ9" s="1">
        <v>200</v>
      </c>
      <c r="BA9" s="1">
        <v>200</v>
      </c>
      <c r="BB9" s="1">
        <v>200</v>
      </c>
      <c r="BC9" s="1">
        <v>200</v>
      </c>
      <c r="BD9" s="1">
        <v>200</v>
      </c>
      <c r="BE9" s="1">
        <v>200</v>
      </c>
      <c r="BF9" s="1">
        <v>200</v>
      </c>
      <c r="BG9" s="1">
        <v>200</v>
      </c>
      <c r="BH9" s="1">
        <v>200</v>
      </c>
      <c r="BI9" s="1">
        <v>200</v>
      </c>
      <c r="BJ9" s="1">
        <v>200</v>
      </c>
      <c r="BK9" s="1">
        <v>200</v>
      </c>
      <c r="BL9" s="1">
        <v>400</v>
      </c>
      <c r="BM9" s="1">
        <v>400</v>
      </c>
      <c r="BN9" s="1">
        <v>400</v>
      </c>
      <c r="BO9" s="1">
        <v>400</v>
      </c>
      <c r="BP9" s="1">
        <v>400</v>
      </c>
      <c r="BQ9" s="1">
        <v>400</v>
      </c>
      <c r="BR9" s="1">
        <v>400</v>
      </c>
      <c r="BS9" s="1">
        <v>400</v>
      </c>
      <c r="BT9" s="1">
        <v>400</v>
      </c>
      <c r="BU9" s="1">
        <v>400</v>
      </c>
      <c r="BV9" s="1">
        <v>400</v>
      </c>
      <c r="BW9" s="1">
        <v>400</v>
      </c>
      <c r="BX9" s="1">
        <v>800</v>
      </c>
      <c r="BY9" s="1">
        <v>800</v>
      </c>
      <c r="BZ9" s="1">
        <v>800</v>
      </c>
      <c r="CA9" s="1">
        <v>800</v>
      </c>
      <c r="CB9" s="1">
        <v>800</v>
      </c>
      <c r="CC9" s="1">
        <v>800</v>
      </c>
      <c r="CD9" s="1">
        <v>800</v>
      </c>
      <c r="CE9" s="1">
        <v>800</v>
      </c>
      <c r="CF9" s="1">
        <v>800</v>
      </c>
      <c r="CG9" s="1">
        <v>800</v>
      </c>
      <c r="CH9" s="1">
        <v>800</v>
      </c>
      <c r="CI9" s="1">
        <v>800</v>
      </c>
      <c r="CJ9" s="3"/>
      <c r="CK9" s="3"/>
      <c r="CL9" s="3"/>
      <c r="CM9" s="3"/>
      <c r="CN9" s="3"/>
      <c r="CO9" s="3"/>
      <c r="CP9" s="3"/>
      <c r="CQ9" s="3"/>
      <c r="CR9" s="3"/>
      <c r="CS9" s="4"/>
    </row>
    <row r="10" spans="1:97" ht="15.75" customHeight="1" x14ac:dyDescent="0.25">
      <c r="A10" s="1"/>
      <c r="C10" s="1" t="s">
        <v>71</v>
      </c>
      <c r="D10" s="1">
        <v>299</v>
      </c>
      <c r="E10" s="1">
        <v>299</v>
      </c>
      <c r="F10" s="1">
        <v>299</v>
      </c>
      <c r="G10" s="1">
        <v>299</v>
      </c>
      <c r="H10" s="1">
        <v>299</v>
      </c>
      <c r="I10" s="1">
        <v>299</v>
      </c>
      <c r="J10" s="1">
        <v>299</v>
      </c>
      <c r="K10" s="1">
        <v>299</v>
      </c>
      <c r="L10" s="1">
        <v>299</v>
      </c>
      <c r="M10" s="1">
        <v>299</v>
      </c>
      <c r="N10" s="1">
        <v>299</v>
      </c>
      <c r="O10" s="1">
        <v>299</v>
      </c>
      <c r="P10" s="1">
        <v>299</v>
      </c>
      <c r="Q10" s="1">
        <v>299</v>
      </c>
      <c r="R10" s="1">
        <v>299</v>
      </c>
      <c r="S10" s="1">
        <v>299</v>
      </c>
      <c r="T10" s="1">
        <v>299</v>
      </c>
      <c r="U10" s="1">
        <v>299</v>
      </c>
      <c r="V10" s="1">
        <v>299</v>
      </c>
      <c r="W10" s="1">
        <v>299</v>
      </c>
      <c r="X10" s="1">
        <v>299</v>
      </c>
      <c r="Y10" s="1">
        <v>299</v>
      </c>
      <c r="Z10" s="1">
        <v>299</v>
      </c>
      <c r="AA10" s="1">
        <v>299</v>
      </c>
      <c r="AB10" s="1">
        <v>299</v>
      </c>
      <c r="AC10" s="1">
        <v>299</v>
      </c>
      <c r="AD10" s="1">
        <v>299</v>
      </c>
      <c r="AE10" s="1">
        <v>299</v>
      </c>
      <c r="AF10" s="1">
        <v>299</v>
      </c>
      <c r="AG10" s="1">
        <v>299</v>
      </c>
      <c r="AH10" s="1">
        <v>299</v>
      </c>
      <c r="AI10" s="1">
        <v>299</v>
      </c>
      <c r="AJ10" s="1">
        <v>299</v>
      </c>
      <c r="AK10" s="1">
        <v>299</v>
      </c>
      <c r="AL10" s="1">
        <v>299</v>
      </c>
      <c r="AM10" s="1">
        <v>299</v>
      </c>
      <c r="AN10" s="1">
        <v>299</v>
      </c>
      <c r="AO10" s="1">
        <v>299</v>
      </c>
      <c r="AP10" s="1">
        <v>299</v>
      </c>
      <c r="AQ10" s="1">
        <v>299</v>
      </c>
      <c r="AR10" s="1">
        <v>299</v>
      </c>
      <c r="AS10" s="1">
        <v>299</v>
      </c>
      <c r="AT10" s="1">
        <v>299</v>
      </c>
      <c r="AU10" s="1">
        <v>299</v>
      </c>
      <c r="AV10" s="1">
        <v>299</v>
      </c>
      <c r="AW10" s="1">
        <v>299</v>
      </c>
      <c r="AX10" s="1">
        <v>299</v>
      </c>
      <c r="AY10" s="1">
        <v>299</v>
      </c>
      <c r="AZ10" s="1">
        <v>299</v>
      </c>
      <c r="BA10" s="1">
        <v>299</v>
      </c>
      <c r="BB10" s="1">
        <v>299</v>
      </c>
      <c r="BC10" s="1">
        <v>299</v>
      </c>
      <c r="BD10" s="1">
        <v>299</v>
      </c>
      <c r="BE10" s="1">
        <v>299</v>
      </c>
      <c r="BF10" s="1">
        <v>299</v>
      </c>
      <c r="BG10" s="1">
        <v>299</v>
      </c>
      <c r="BH10" s="1">
        <v>299</v>
      </c>
      <c r="BI10" s="1">
        <v>299</v>
      </c>
      <c r="BJ10" s="1">
        <v>299</v>
      </c>
      <c r="BK10" s="1">
        <v>299</v>
      </c>
      <c r="BL10" s="1">
        <v>299</v>
      </c>
      <c r="BM10" s="1">
        <v>299</v>
      </c>
      <c r="BN10" s="1">
        <v>299</v>
      </c>
      <c r="BO10" s="1">
        <v>299</v>
      </c>
      <c r="BP10" s="1">
        <v>299</v>
      </c>
      <c r="BQ10" s="1">
        <v>299</v>
      </c>
      <c r="BR10" s="1">
        <v>299</v>
      </c>
      <c r="BS10" s="1">
        <v>299</v>
      </c>
      <c r="BT10" s="1">
        <v>299</v>
      </c>
      <c r="BU10" s="1">
        <v>299</v>
      </c>
      <c r="BV10" s="1">
        <v>299</v>
      </c>
      <c r="BW10" s="1">
        <v>299</v>
      </c>
      <c r="BX10" s="1">
        <v>299</v>
      </c>
      <c r="BY10" s="1">
        <v>299</v>
      </c>
      <c r="BZ10" s="1">
        <v>299</v>
      </c>
      <c r="CA10" s="1">
        <v>299</v>
      </c>
      <c r="CB10" s="1">
        <v>299</v>
      </c>
      <c r="CC10" s="1">
        <v>299</v>
      </c>
      <c r="CD10" s="1">
        <v>299</v>
      </c>
      <c r="CE10" s="1">
        <v>299</v>
      </c>
      <c r="CF10" s="1">
        <v>299</v>
      </c>
      <c r="CG10" s="1">
        <v>299</v>
      </c>
      <c r="CH10" s="1">
        <v>299</v>
      </c>
      <c r="CI10" s="1">
        <v>299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:97" ht="15.75" customHeight="1" x14ac:dyDescent="0.25">
      <c r="A11" s="1"/>
      <c r="C11" s="1" t="s">
        <v>72</v>
      </c>
      <c r="D11" s="1">
        <v>500</v>
      </c>
      <c r="E11" s="1">
        <v>500</v>
      </c>
      <c r="F11" s="1">
        <v>500</v>
      </c>
      <c r="G11" s="1">
        <v>500</v>
      </c>
      <c r="H11" s="1">
        <v>500</v>
      </c>
      <c r="I11" s="1">
        <v>500</v>
      </c>
      <c r="J11" s="1">
        <v>500</v>
      </c>
      <c r="K11" s="1">
        <v>500</v>
      </c>
      <c r="L11" s="1">
        <v>500</v>
      </c>
      <c r="M11" s="1">
        <v>500</v>
      </c>
      <c r="N11" s="1">
        <v>500</v>
      </c>
      <c r="O11" s="1">
        <v>500</v>
      </c>
      <c r="P11" s="1">
        <v>7475</v>
      </c>
      <c r="Q11" s="1">
        <v>7475</v>
      </c>
      <c r="R11" s="1">
        <v>7475</v>
      </c>
      <c r="S11" s="1">
        <v>7475</v>
      </c>
      <c r="T11" s="1">
        <v>7475</v>
      </c>
      <c r="U11" s="1">
        <v>7475</v>
      </c>
      <c r="V11" s="1">
        <v>7475</v>
      </c>
      <c r="W11" s="1">
        <v>7475</v>
      </c>
      <c r="X11" s="1">
        <v>7475</v>
      </c>
      <c r="Y11" s="1">
        <v>7475</v>
      </c>
      <c r="Z11" s="1">
        <v>7475</v>
      </c>
      <c r="AA11" s="1">
        <v>7475</v>
      </c>
      <c r="AB11" s="1">
        <v>14950</v>
      </c>
      <c r="AC11" s="1">
        <v>14950</v>
      </c>
      <c r="AD11" s="1">
        <v>14950</v>
      </c>
      <c r="AE11" s="1">
        <v>14950</v>
      </c>
      <c r="AF11" s="1">
        <v>14950</v>
      </c>
      <c r="AG11" s="1">
        <v>14950</v>
      </c>
      <c r="AH11" s="1">
        <v>14950</v>
      </c>
      <c r="AI11" s="1">
        <v>14950</v>
      </c>
      <c r="AJ11" s="1">
        <v>14950</v>
      </c>
      <c r="AK11" s="1">
        <v>14950</v>
      </c>
      <c r="AL11" s="1">
        <v>14950</v>
      </c>
      <c r="AM11" s="1">
        <v>14950</v>
      </c>
      <c r="AN11" s="1">
        <v>29900</v>
      </c>
      <c r="AO11" s="1">
        <v>29900</v>
      </c>
      <c r="AP11" s="1">
        <v>29900</v>
      </c>
      <c r="AQ11" s="1">
        <v>29900</v>
      </c>
      <c r="AR11" s="1">
        <v>29900</v>
      </c>
      <c r="AS11" s="1">
        <v>29900</v>
      </c>
      <c r="AT11" s="1">
        <v>29900</v>
      </c>
      <c r="AU11" s="1">
        <v>29900</v>
      </c>
      <c r="AV11" s="1">
        <v>29900</v>
      </c>
      <c r="AW11" s="1">
        <v>29900</v>
      </c>
      <c r="AX11" s="1">
        <v>29900</v>
      </c>
      <c r="AY11" s="1">
        <v>29900</v>
      </c>
      <c r="AZ11" s="1">
        <v>59800</v>
      </c>
      <c r="BA11" s="1">
        <v>59800</v>
      </c>
      <c r="BB11" s="1">
        <v>59800</v>
      </c>
      <c r="BC11" s="1">
        <v>59800</v>
      </c>
      <c r="BD11" s="1">
        <v>59800</v>
      </c>
      <c r="BE11" s="1">
        <v>59800</v>
      </c>
      <c r="BF11" s="1">
        <v>59800</v>
      </c>
      <c r="BG11" s="1">
        <v>59800</v>
      </c>
      <c r="BH11" s="1">
        <v>59800</v>
      </c>
      <c r="BI11" s="1">
        <v>59800</v>
      </c>
      <c r="BJ11" s="1">
        <v>59800</v>
      </c>
      <c r="BK11" s="1">
        <v>59800</v>
      </c>
      <c r="BL11" s="1">
        <v>119600</v>
      </c>
      <c r="BM11" s="1">
        <v>119600</v>
      </c>
      <c r="BN11" s="1">
        <v>119600</v>
      </c>
      <c r="BO11" s="1">
        <v>119600</v>
      </c>
      <c r="BP11" s="1">
        <v>119600</v>
      </c>
      <c r="BQ11" s="1">
        <v>119600</v>
      </c>
      <c r="BR11" s="1">
        <v>119600</v>
      </c>
      <c r="BS11" s="1">
        <v>119600</v>
      </c>
      <c r="BT11" s="1">
        <v>119600</v>
      </c>
      <c r="BU11" s="1">
        <v>119600</v>
      </c>
      <c r="BV11" s="1">
        <v>119600</v>
      </c>
      <c r="BW11" s="1">
        <v>119600</v>
      </c>
      <c r="BX11" s="1">
        <v>239200</v>
      </c>
      <c r="BY11" s="1">
        <v>239200</v>
      </c>
      <c r="BZ11" s="1">
        <v>239200</v>
      </c>
      <c r="CA11" s="1">
        <v>239200</v>
      </c>
      <c r="CB11" s="1">
        <v>239200</v>
      </c>
      <c r="CC11" s="1">
        <v>239200</v>
      </c>
      <c r="CD11" s="1">
        <v>239200</v>
      </c>
      <c r="CE11" s="1">
        <v>239200</v>
      </c>
      <c r="CF11" s="1">
        <v>239200</v>
      </c>
      <c r="CG11" s="1">
        <v>239200</v>
      </c>
      <c r="CH11" s="1">
        <v>239200</v>
      </c>
      <c r="CI11" s="1">
        <v>239200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97" ht="15.75" customHeight="1" x14ac:dyDescent="0.25">
      <c r="A12" s="1"/>
      <c r="B12" t="s">
        <v>73</v>
      </c>
      <c r="C12" s="1" t="s">
        <v>70</v>
      </c>
      <c r="D12" s="1"/>
      <c r="E12" s="1"/>
      <c r="F12" s="1"/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>
        <v>10</v>
      </c>
      <c r="Q12" s="1">
        <v>10</v>
      </c>
      <c r="R12" s="1">
        <v>10</v>
      </c>
      <c r="S12" s="1">
        <v>10</v>
      </c>
      <c r="T12" s="1">
        <v>10</v>
      </c>
      <c r="U12" s="1">
        <v>10</v>
      </c>
      <c r="V12" s="1">
        <v>10</v>
      </c>
      <c r="W12" s="1">
        <v>10</v>
      </c>
      <c r="X12" s="1">
        <v>10</v>
      </c>
      <c r="Y12" s="1">
        <v>10</v>
      </c>
      <c r="Z12" s="1">
        <v>10</v>
      </c>
      <c r="AA12" s="1">
        <v>10</v>
      </c>
      <c r="AB12" s="1">
        <v>20</v>
      </c>
      <c r="AC12" s="1">
        <v>20</v>
      </c>
      <c r="AD12" s="1">
        <v>20</v>
      </c>
      <c r="AE12" s="1">
        <v>20</v>
      </c>
      <c r="AF12" s="1">
        <v>20</v>
      </c>
      <c r="AG12" s="1">
        <v>20</v>
      </c>
      <c r="AH12" s="1">
        <v>20</v>
      </c>
      <c r="AI12" s="1">
        <v>20</v>
      </c>
      <c r="AJ12" s="1">
        <v>20</v>
      </c>
      <c r="AK12" s="1">
        <v>20</v>
      </c>
      <c r="AL12" s="1">
        <v>20</v>
      </c>
      <c r="AM12" s="1">
        <v>20</v>
      </c>
      <c r="AN12" s="1">
        <v>40</v>
      </c>
      <c r="AO12" s="1">
        <v>40</v>
      </c>
      <c r="AP12" s="1">
        <v>40</v>
      </c>
      <c r="AQ12" s="1">
        <v>40</v>
      </c>
      <c r="AR12" s="1">
        <v>40</v>
      </c>
      <c r="AS12" s="1">
        <v>40</v>
      </c>
      <c r="AT12" s="1">
        <v>40</v>
      </c>
      <c r="AU12" s="1">
        <v>40</v>
      </c>
      <c r="AV12" s="1">
        <v>40</v>
      </c>
      <c r="AW12" s="1">
        <v>40</v>
      </c>
      <c r="AX12" s="1">
        <v>40</v>
      </c>
      <c r="AY12" s="1">
        <v>40</v>
      </c>
      <c r="AZ12" s="1">
        <v>80</v>
      </c>
      <c r="BA12" s="1">
        <v>80</v>
      </c>
      <c r="BB12" s="1">
        <v>80</v>
      </c>
      <c r="BC12" s="1">
        <v>80</v>
      </c>
      <c r="BD12" s="1">
        <v>80</v>
      </c>
      <c r="BE12" s="1">
        <v>80</v>
      </c>
      <c r="BF12" s="1">
        <v>80</v>
      </c>
      <c r="BG12" s="1">
        <v>80</v>
      </c>
      <c r="BH12" s="1">
        <v>80</v>
      </c>
      <c r="BI12" s="1">
        <v>80</v>
      </c>
      <c r="BJ12" s="1">
        <v>80</v>
      </c>
      <c r="BK12" s="1">
        <v>80</v>
      </c>
      <c r="BL12" s="1">
        <v>160</v>
      </c>
      <c r="BM12" s="1">
        <v>160</v>
      </c>
      <c r="BN12" s="1">
        <v>160</v>
      </c>
      <c r="BO12" s="1">
        <v>160</v>
      </c>
      <c r="BP12" s="1">
        <v>160</v>
      </c>
      <c r="BQ12" s="1">
        <v>160</v>
      </c>
      <c r="BR12" s="1">
        <v>160</v>
      </c>
      <c r="BS12" s="1">
        <v>160</v>
      </c>
      <c r="BT12" s="1">
        <v>160</v>
      </c>
      <c r="BU12" s="1">
        <v>160</v>
      </c>
      <c r="BV12" s="1">
        <v>160</v>
      </c>
      <c r="BW12" s="1">
        <v>160</v>
      </c>
      <c r="BX12" s="1">
        <v>320</v>
      </c>
      <c r="BY12" s="1">
        <v>320</v>
      </c>
      <c r="BZ12" s="1">
        <v>320</v>
      </c>
      <c r="CA12" s="1">
        <v>320</v>
      </c>
      <c r="CB12" s="1">
        <v>320</v>
      </c>
      <c r="CC12" s="1">
        <v>320</v>
      </c>
      <c r="CD12" s="1">
        <v>320</v>
      </c>
      <c r="CE12" s="1">
        <v>320</v>
      </c>
      <c r="CF12" s="1">
        <v>320</v>
      </c>
      <c r="CG12" s="1">
        <v>320</v>
      </c>
      <c r="CH12" s="1">
        <v>320</v>
      </c>
      <c r="CI12" s="1">
        <v>320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:97" ht="15.75" customHeight="1" x14ac:dyDescent="0.25">
      <c r="A13" s="1"/>
      <c r="C13" s="1" t="s">
        <v>71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97" ht="15.75" customHeight="1" x14ac:dyDescent="0.25">
      <c r="A14" s="1"/>
      <c r="C14" s="1" t="s">
        <v>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:97" ht="15.75" customHeight="1" x14ac:dyDescent="0.25">
      <c r="A15" s="1"/>
      <c r="B15" t="s">
        <v>74</v>
      </c>
      <c r="C15" s="1" t="s">
        <v>70</v>
      </c>
      <c r="D15" s="1">
        <v>500</v>
      </c>
      <c r="E15" s="1">
        <v>500</v>
      </c>
      <c r="F15" s="1">
        <v>500</v>
      </c>
      <c r="G15" s="1">
        <v>500</v>
      </c>
      <c r="H15" s="1">
        <v>500</v>
      </c>
      <c r="I15" s="1">
        <v>500</v>
      </c>
      <c r="J15" s="1">
        <v>500</v>
      </c>
      <c r="K15" s="1">
        <v>500</v>
      </c>
      <c r="L15" s="1">
        <v>500</v>
      </c>
      <c r="M15" s="1">
        <v>500</v>
      </c>
      <c r="N15" s="1">
        <v>500</v>
      </c>
      <c r="O15" s="1">
        <v>500</v>
      </c>
      <c r="P15" s="1">
        <v>10</v>
      </c>
      <c r="Q15" s="1">
        <v>10</v>
      </c>
      <c r="R15" s="1">
        <v>10</v>
      </c>
      <c r="S15" s="1">
        <v>10</v>
      </c>
      <c r="T15" s="1">
        <v>10</v>
      </c>
      <c r="U15" s="1">
        <v>10</v>
      </c>
      <c r="V15" s="1">
        <v>10</v>
      </c>
      <c r="W15" s="1">
        <v>10</v>
      </c>
      <c r="X15" s="1">
        <v>10</v>
      </c>
      <c r="Y15" s="1">
        <v>10</v>
      </c>
      <c r="Z15" s="1">
        <v>10</v>
      </c>
      <c r="AA15" s="1">
        <v>10</v>
      </c>
      <c r="AB15" s="1">
        <v>10</v>
      </c>
      <c r="AC15" s="1">
        <v>10</v>
      </c>
      <c r="AD15" s="1">
        <v>10</v>
      </c>
      <c r="AE15" s="1">
        <v>10</v>
      </c>
      <c r="AF15" s="1">
        <v>10</v>
      </c>
      <c r="AG15" s="1">
        <v>10</v>
      </c>
      <c r="AH15" s="1">
        <v>10</v>
      </c>
      <c r="AI15" s="1">
        <v>10</v>
      </c>
      <c r="AJ15" s="1">
        <v>10</v>
      </c>
      <c r="AK15" s="1">
        <v>10</v>
      </c>
      <c r="AL15" s="1">
        <v>10</v>
      </c>
      <c r="AM15" s="1">
        <v>10</v>
      </c>
      <c r="AN15" s="1">
        <v>10</v>
      </c>
      <c r="AO15" s="1">
        <v>10</v>
      </c>
      <c r="AP15" s="1">
        <v>10</v>
      </c>
      <c r="AQ15" s="1">
        <v>10</v>
      </c>
      <c r="AR15" s="1">
        <v>10</v>
      </c>
      <c r="AS15" s="1">
        <v>10</v>
      </c>
      <c r="AT15" s="1">
        <v>10</v>
      </c>
      <c r="AU15" s="1">
        <v>10</v>
      </c>
      <c r="AV15" s="1">
        <v>10</v>
      </c>
      <c r="AW15" s="1">
        <v>10</v>
      </c>
      <c r="AX15" s="1">
        <v>10</v>
      </c>
      <c r="AY15" s="1">
        <v>10</v>
      </c>
      <c r="AZ15" s="1">
        <v>10</v>
      </c>
      <c r="BA15" s="1">
        <v>10</v>
      </c>
      <c r="BB15" s="1">
        <v>10</v>
      </c>
      <c r="BC15" s="1">
        <v>10</v>
      </c>
      <c r="BD15" s="1">
        <v>10</v>
      </c>
      <c r="BE15" s="1">
        <v>10</v>
      </c>
      <c r="BF15" s="1">
        <v>10</v>
      </c>
      <c r="BG15" s="1">
        <v>10</v>
      </c>
      <c r="BH15" s="1">
        <v>10</v>
      </c>
      <c r="BI15" s="1">
        <v>10</v>
      </c>
      <c r="BJ15" s="1">
        <v>10</v>
      </c>
      <c r="BK15" s="1">
        <v>10</v>
      </c>
      <c r="BL15" s="1">
        <v>10</v>
      </c>
      <c r="BM15" s="1">
        <v>10</v>
      </c>
      <c r="BN15" s="1">
        <v>10</v>
      </c>
      <c r="BO15" s="1">
        <v>10</v>
      </c>
      <c r="BP15" s="1">
        <v>10</v>
      </c>
      <c r="BQ15" s="1">
        <v>10</v>
      </c>
      <c r="BR15" s="1">
        <v>10</v>
      </c>
      <c r="BS15" s="1">
        <v>10</v>
      </c>
      <c r="BT15" s="1">
        <v>10</v>
      </c>
      <c r="BU15" s="1">
        <v>10</v>
      </c>
      <c r="BV15" s="1">
        <v>10</v>
      </c>
      <c r="BW15" s="1">
        <v>10</v>
      </c>
      <c r="BX15" s="1">
        <v>10</v>
      </c>
      <c r="BY15" s="1">
        <v>10</v>
      </c>
      <c r="BZ15" s="1">
        <v>10</v>
      </c>
      <c r="CA15" s="1">
        <v>10</v>
      </c>
      <c r="CB15" s="1">
        <v>10</v>
      </c>
      <c r="CC15" s="1">
        <v>10</v>
      </c>
      <c r="CD15" s="1">
        <v>10</v>
      </c>
      <c r="CE15" s="1">
        <v>10</v>
      </c>
      <c r="CF15" s="1">
        <v>10</v>
      </c>
      <c r="CG15" s="1">
        <v>10</v>
      </c>
      <c r="CH15" s="1">
        <v>10</v>
      </c>
      <c r="CI15" s="1">
        <v>10</v>
      </c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:97" ht="15.75" customHeight="1" x14ac:dyDescent="0.25">
      <c r="A16" s="1"/>
      <c r="C16" s="1" t="s">
        <v>71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15.75" customHeight="1" x14ac:dyDescent="0.25">
      <c r="A17" s="1"/>
      <c r="C17" s="1" t="s">
        <v>72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4"/>
      <c r="CK17" s="4"/>
      <c r="CL17" s="4"/>
      <c r="CM17" s="4"/>
      <c r="CN17" s="4"/>
      <c r="CO17" s="4"/>
      <c r="CP17" s="4"/>
      <c r="CQ17" s="4"/>
      <c r="CR17" s="4"/>
      <c r="CS17" s="4"/>
    </row>
    <row r="18" spans="1:97" ht="15.75" customHeight="1" x14ac:dyDescent="0.25">
      <c r="A18" s="1"/>
      <c r="B18" t="s">
        <v>75</v>
      </c>
      <c r="C18" s="1" t="s">
        <v>70</v>
      </c>
      <c r="D18" s="1"/>
      <c r="E18" s="1"/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5</v>
      </c>
      <c r="Q18" s="1">
        <v>5</v>
      </c>
      <c r="R18" s="1">
        <v>5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Y18" s="1">
        <v>5</v>
      </c>
      <c r="Z18" s="1">
        <v>5</v>
      </c>
      <c r="AA18" s="1">
        <v>5</v>
      </c>
      <c r="AB18" s="1">
        <v>5</v>
      </c>
      <c r="AC18" s="1">
        <v>5</v>
      </c>
      <c r="AD18" s="1">
        <v>5</v>
      </c>
      <c r="AE18" s="1">
        <v>5</v>
      </c>
      <c r="AF18" s="1">
        <v>5</v>
      </c>
      <c r="AG18" s="1">
        <v>5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O18" s="1">
        <v>5</v>
      </c>
      <c r="AP18" s="1">
        <v>5</v>
      </c>
      <c r="AQ18" s="1">
        <v>5</v>
      </c>
      <c r="AR18" s="1">
        <v>5</v>
      </c>
      <c r="AS18" s="1">
        <v>5</v>
      </c>
      <c r="AT18" s="1">
        <v>5</v>
      </c>
      <c r="AU18" s="1">
        <v>5</v>
      </c>
      <c r="AV18" s="1">
        <v>5</v>
      </c>
      <c r="AW18" s="1">
        <v>5</v>
      </c>
      <c r="AX18" s="1">
        <v>5</v>
      </c>
      <c r="AY18" s="1">
        <v>5</v>
      </c>
      <c r="AZ18" s="1">
        <v>5</v>
      </c>
      <c r="BA18" s="1">
        <v>5</v>
      </c>
      <c r="BB18" s="1">
        <v>5</v>
      </c>
      <c r="BC18" s="1">
        <v>5</v>
      </c>
      <c r="BD18" s="1">
        <v>5</v>
      </c>
      <c r="BE18" s="1">
        <v>5</v>
      </c>
      <c r="BF18" s="1">
        <v>5</v>
      </c>
      <c r="BG18" s="1">
        <v>5</v>
      </c>
      <c r="BH18" s="1">
        <v>5</v>
      </c>
      <c r="BI18" s="1">
        <v>5</v>
      </c>
      <c r="BJ18" s="1">
        <v>5</v>
      </c>
      <c r="BK18" s="1">
        <v>5</v>
      </c>
      <c r="BL18" s="1">
        <v>5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>
        <v>5</v>
      </c>
      <c r="BU18" s="1">
        <v>5</v>
      </c>
      <c r="BV18" s="1">
        <v>5</v>
      </c>
      <c r="BW18" s="1">
        <v>5</v>
      </c>
      <c r="BX18" s="1">
        <v>5</v>
      </c>
      <c r="BY18" s="1">
        <v>5</v>
      </c>
      <c r="BZ18" s="1">
        <v>5</v>
      </c>
      <c r="CA18" s="1">
        <v>5</v>
      </c>
      <c r="CB18" s="1">
        <v>5</v>
      </c>
      <c r="CC18" s="1">
        <v>5</v>
      </c>
      <c r="CD18" s="1">
        <v>5</v>
      </c>
      <c r="CE18" s="1">
        <v>5</v>
      </c>
      <c r="CF18" s="1">
        <v>5</v>
      </c>
      <c r="CG18" s="1">
        <v>5</v>
      </c>
      <c r="CH18" s="1">
        <v>5</v>
      </c>
      <c r="CI18" s="1">
        <v>5</v>
      </c>
      <c r="CJ18" s="4"/>
      <c r="CK18" s="4"/>
      <c r="CL18" s="4"/>
      <c r="CM18" s="4"/>
      <c r="CN18" s="4"/>
      <c r="CO18" s="4"/>
      <c r="CP18" s="4"/>
      <c r="CQ18" s="4"/>
      <c r="CR18" s="4"/>
      <c r="CS18" s="4"/>
    </row>
    <row r="19" spans="1:97" ht="15.75" customHeight="1" x14ac:dyDescent="0.25">
      <c r="A19" s="1"/>
      <c r="C19" s="1" t="s">
        <v>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4"/>
      <c r="CK19" s="4"/>
      <c r="CL19" s="4"/>
      <c r="CM19" s="4"/>
      <c r="CN19" s="4"/>
      <c r="CO19" s="4"/>
      <c r="CP19" s="4"/>
      <c r="CQ19" s="4"/>
      <c r="CR19" s="4"/>
      <c r="CS19" s="4"/>
    </row>
    <row r="20" spans="1:97" ht="15.75" customHeight="1" x14ac:dyDescent="0.25">
      <c r="A20" s="1"/>
      <c r="C20" s="1" t="s">
        <v>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4"/>
      <c r="CK20" s="4"/>
      <c r="CL20" s="4"/>
      <c r="CM20" s="4"/>
      <c r="CN20" s="4"/>
      <c r="CO20" s="4"/>
      <c r="CP20" s="4"/>
      <c r="CQ20" s="4"/>
      <c r="CR20" s="4"/>
      <c r="CS20" s="4"/>
    </row>
    <row r="21" spans="1:97" ht="15.75" customHeight="1" x14ac:dyDescent="0.25">
      <c r="A21" s="1"/>
      <c r="B21" t="s">
        <v>76</v>
      </c>
      <c r="C21" s="1" t="s">
        <v>70</v>
      </c>
      <c r="D21" s="1"/>
      <c r="E21" s="1"/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4"/>
      <c r="CK21" s="4"/>
      <c r="CL21" s="4"/>
      <c r="CM21" s="4"/>
      <c r="CN21" s="4"/>
      <c r="CO21" s="4"/>
      <c r="CP21" s="4"/>
      <c r="CQ21" s="4"/>
      <c r="CR21" s="4"/>
      <c r="CS21" s="4"/>
    </row>
    <row r="22" spans="1:97" ht="15.75" customHeight="1" x14ac:dyDescent="0.25">
      <c r="A22" s="1"/>
      <c r="C22" s="1" t="s">
        <v>71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4"/>
      <c r="CK22" s="4"/>
      <c r="CL22" s="4"/>
      <c r="CM22" s="4"/>
      <c r="CN22" s="4"/>
      <c r="CO22" s="4"/>
      <c r="CP22" s="4"/>
      <c r="CQ22" s="4"/>
      <c r="CR22" s="4"/>
      <c r="CS22" s="4"/>
    </row>
    <row r="23" spans="1:97" ht="15.75" customHeight="1" x14ac:dyDescent="0.25">
      <c r="A23" s="1"/>
      <c r="C23" s="1" t="s">
        <v>72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4"/>
      <c r="CK23" s="4"/>
      <c r="CL23" s="4"/>
      <c r="CM23" s="4"/>
      <c r="CN23" s="4"/>
      <c r="CO23" s="4"/>
      <c r="CP23" s="4"/>
      <c r="CQ23" s="4"/>
      <c r="CR23" s="4"/>
      <c r="CS23" s="4"/>
    </row>
    <row r="24" spans="1:97" ht="15.75" customHeight="1" x14ac:dyDescent="0.25">
      <c r="A24" s="1"/>
      <c r="B24" t="s">
        <v>77</v>
      </c>
      <c r="C24" s="1" t="s">
        <v>70</v>
      </c>
      <c r="D24" s="1"/>
      <c r="E24" s="1"/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4"/>
      <c r="CK24" s="4"/>
      <c r="CL24" s="4"/>
      <c r="CM24" s="4"/>
      <c r="CN24" s="4"/>
      <c r="CO24" s="4"/>
      <c r="CP24" s="4"/>
      <c r="CQ24" s="4"/>
      <c r="CR24" s="4"/>
      <c r="CS24" s="4"/>
    </row>
    <row r="25" spans="1:97" ht="15.75" customHeight="1" x14ac:dyDescent="0.25">
      <c r="A25" s="1"/>
      <c r="C25" s="1" t="s">
        <v>71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4"/>
      <c r="CK25" s="4"/>
      <c r="CL25" s="4"/>
      <c r="CM25" s="4"/>
      <c r="CN25" s="4"/>
      <c r="CO25" s="4"/>
      <c r="CP25" s="4"/>
      <c r="CQ25" s="4"/>
      <c r="CR25" s="4"/>
      <c r="CS25" s="4"/>
    </row>
    <row r="26" spans="1:97" ht="15.75" customHeight="1" x14ac:dyDescent="0.25">
      <c r="A26" s="1"/>
      <c r="C26" s="1" t="s">
        <v>72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4"/>
      <c r="CK26" s="4"/>
      <c r="CL26" s="4"/>
      <c r="CM26" s="4"/>
      <c r="CN26" s="4"/>
      <c r="CO26" s="4"/>
      <c r="CP26" s="4"/>
      <c r="CQ26" s="4"/>
      <c r="CR26" s="4"/>
      <c r="CS26" s="4"/>
    </row>
    <row r="27" spans="1:97" ht="15.75" customHeight="1" x14ac:dyDescent="0.25">
      <c r="A27" s="1"/>
      <c r="B27" t="s">
        <v>78</v>
      </c>
      <c r="C27" s="1" t="s">
        <v>70</v>
      </c>
      <c r="D27" s="1"/>
      <c r="E27" s="1"/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>
        <v>2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3</v>
      </c>
      <c r="AO27" s="1">
        <v>3</v>
      </c>
      <c r="AP27" s="1">
        <v>3</v>
      </c>
      <c r="AQ27" s="1">
        <v>3</v>
      </c>
      <c r="AR27" s="1">
        <v>3</v>
      </c>
      <c r="AS27" s="1">
        <v>3</v>
      </c>
      <c r="AT27" s="1">
        <v>3</v>
      </c>
      <c r="AU27" s="1">
        <v>3</v>
      </c>
      <c r="AV27" s="1">
        <v>3</v>
      </c>
      <c r="AW27" s="1">
        <v>3</v>
      </c>
      <c r="AX27" s="1">
        <v>3</v>
      </c>
      <c r="AY27" s="1">
        <v>3</v>
      </c>
      <c r="AZ27" s="1">
        <v>3</v>
      </c>
      <c r="BA27" s="1">
        <v>3</v>
      </c>
      <c r="BB27" s="1">
        <v>3</v>
      </c>
      <c r="BC27" s="1">
        <v>3</v>
      </c>
      <c r="BD27" s="1">
        <v>3</v>
      </c>
      <c r="BE27" s="1">
        <v>3</v>
      </c>
      <c r="BF27" s="1">
        <v>3</v>
      </c>
      <c r="BG27" s="1">
        <v>3</v>
      </c>
      <c r="BH27" s="1">
        <v>3</v>
      </c>
      <c r="BI27" s="1">
        <v>3</v>
      </c>
      <c r="BJ27" s="1">
        <v>3</v>
      </c>
      <c r="BK27" s="1">
        <v>3</v>
      </c>
      <c r="BL27" s="1">
        <v>3</v>
      </c>
      <c r="BM27" s="1">
        <v>3</v>
      </c>
      <c r="BN27" s="1">
        <v>3</v>
      </c>
      <c r="BO27" s="1">
        <v>3</v>
      </c>
      <c r="BP27" s="1">
        <v>3</v>
      </c>
      <c r="BQ27" s="1">
        <v>3</v>
      </c>
      <c r="BR27" s="1">
        <v>3</v>
      </c>
      <c r="BS27" s="1">
        <v>3</v>
      </c>
      <c r="BT27" s="1">
        <v>3</v>
      </c>
      <c r="BU27" s="1">
        <v>3</v>
      </c>
      <c r="BV27" s="1">
        <v>3</v>
      </c>
      <c r="BW27" s="1">
        <v>3</v>
      </c>
      <c r="BX27" s="1">
        <v>3</v>
      </c>
      <c r="BY27" s="1">
        <v>3</v>
      </c>
      <c r="BZ27" s="1">
        <v>3</v>
      </c>
      <c r="CA27" s="1">
        <v>3</v>
      </c>
      <c r="CB27" s="1">
        <v>3</v>
      </c>
      <c r="CC27" s="1">
        <v>3</v>
      </c>
      <c r="CD27" s="1">
        <v>3</v>
      </c>
      <c r="CE27" s="1">
        <v>3</v>
      </c>
      <c r="CF27" s="1">
        <v>3</v>
      </c>
      <c r="CG27" s="1">
        <v>3</v>
      </c>
      <c r="CH27" s="1">
        <v>3</v>
      </c>
      <c r="CI27" s="1">
        <v>3</v>
      </c>
      <c r="CJ27" s="4"/>
      <c r="CK27" s="4"/>
      <c r="CL27" s="4"/>
      <c r="CM27" s="4"/>
      <c r="CN27" s="4"/>
      <c r="CO27" s="4"/>
      <c r="CP27" s="4"/>
      <c r="CQ27" s="4"/>
      <c r="CR27" s="4"/>
      <c r="CS27" s="4"/>
    </row>
    <row r="28" spans="1:97" ht="15.75" customHeight="1" x14ac:dyDescent="0.25">
      <c r="A28" s="1"/>
      <c r="C28" s="1" t="s">
        <v>71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4"/>
      <c r="CK28" s="4"/>
      <c r="CL28" s="4"/>
      <c r="CM28" s="4"/>
      <c r="CN28" s="4"/>
      <c r="CO28" s="4"/>
      <c r="CP28" s="4"/>
      <c r="CQ28" s="4"/>
      <c r="CR28" s="4"/>
      <c r="CS28" s="4"/>
    </row>
    <row r="29" spans="1:97" ht="15.75" customHeight="1" x14ac:dyDescent="0.25">
      <c r="A29" s="1"/>
      <c r="C29" s="1" t="s">
        <v>72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4"/>
      <c r="CK29" s="4"/>
      <c r="CL29" s="4"/>
      <c r="CM29" s="4"/>
      <c r="CN29" s="4"/>
      <c r="CO29" s="4"/>
      <c r="CP29" s="4"/>
      <c r="CQ29" s="4"/>
      <c r="CR29" s="4"/>
      <c r="CS29" s="4"/>
    </row>
    <row r="30" spans="1:97" ht="15.75" customHeight="1" x14ac:dyDescent="0.25">
      <c r="A30" s="1"/>
      <c r="B30" t="s">
        <v>79</v>
      </c>
      <c r="C30" s="1" t="s">
        <v>70</v>
      </c>
      <c r="D30" s="1"/>
      <c r="E30" s="1"/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3</v>
      </c>
      <c r="Q30" s="1">
        <v>3</v>
      </c>
      <c r="R30" s="1">
        <v>3</v>
      </c>
      <c r="S30" s="1">
        <v>3</v>
      </c>
      <c r="T30" s="1">
        <v>3</v>
      </c>
      <c r="U30" s="1">
        <v>3</v>
      </c>
      <c r="V30" s="1">
        <v>3</v>
      </c>
      <c r="W30" s="1">
        <v>3</v>
      </c>
      <c r="X30" s="1">
        <v>3</v>
      </c>
      <c r="Y30" s="1">
        <v>3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</v>
      </c>
      <c r="AL30" s="1">
        <v>3</v>
      </c>
      <c r="AM30" s="1">
        <v>3</v>
      </c>
      <c r="AN30" s="1">
        <v>3</v>
      </c>
      <c r="AO30" s="1">
        <v>3</v>
      </c>
      <c r="AP30" s="1">
        <v>3</v>
      </c>
      <c r="AQ30" s="1">
        <v>3</v>
      </c>
      <c r="AR30" s="1">
        <v>3</v>
      </c>
      <c r="AS30" s="1">
        <v>3</v>
      </c>
      <c r="AT30" s="1">
        <v>3</v>
      </c>
      <c r="AU30" s="1">
        <v>3</v>
      </c>
      <c r="AV30" s="1">
        <v>3</v>
      </c>
      <c r="AW30" s="1">
        <v>3</v>
      </c>
      <c r="AX30" s="1">
        <v>3</v>
      </c>
      <c r="AY30" s="1">
        <v>3</v>
      </c>
      <c r="AZ30" s="1">
        <v>3</v>
      </c>
      <c r="BA30" s="1">
        <v>3</v>
      </c>
      <c r="BB30" s="1">
        <v>3</v>
      </c>
      <c r="BC30" s="1">
        <v>3</v>
      </c>
      <c r="BD30" s="1">
        <v>3</v>
      </c>
      <c r="BE30" s="1">
        <v>3</v>
      </c>
      <c r="BF30" s="1">
        <v>3</v>
      </c>
      <c r="BG30" s="1">
        <v>3</v>
      </c>
      <c r="BH30" s="1">
        <v>3</v>
      </c>
      <c r="BI30" s="1">
        <v>3</v>
      </c>
      <c r="BJ30" s="1">
        <v>3</v>
      </c>
      <c r="BK30" s="1">
        <v>3</v>
      </c>
      <c r="BL30" s="1">
        <v>3</v>
      </c>
      <c r="BM30" s="1">
        <v>3</v>
      </c>
      <c r="BN30" s="1">
        <v>3</v>
      </c>
      <c r="BO30" s="1">
        <v>3</v>
      </c>
      <c r="BP30" s="1">
        <v>3</v>
      </c>
      <c r="BQ30" s="1">
        <v>3</v>
      </c>
      <c r="BR30" s="1">
        <v>3</v>
      </c>
      <c r="BS30" s="1">
        <v>3</v>
      </c>
      <c r="BT30" s="1">
        <v>3</v>
      </c>
      <c r="BU30" s="1">
        <v>3</v>
      </c>
      <c r="BV30" s="1">
        <v>3</v>
      </c>
      <c r="BW30" s="1">
        <v>3</v>
      </c>
      <c r="BX30" s="1">
        <v>3</v>
      </c>
      <c r="BY30" s="1">
        <v>3</v>
      </c>
      <c r="BZ30" s="1">
        <v>3</v>
      </c>
      <c r="CA30" s="1">
        <v>3</v>
      </c>
      <c r="CB30" s="1">
        <v>3</v>
      </c>
      <c r="CC30" s="1">
        <v>3</v>
      </c>
      <c r="CD30" s="1">
        <v>3</v>
      </c>
      <c r="CE30" s="1">
        <v>3</v>
      </c>
      <c r="CF30" s="1">
        <v>3</v>
      </c>
      <c r="CG30" s="1">
        <v>3</v>
      </c>
      <c r="CH30" s="1">
        <v>3</v>
      </c>
      <c r="CI30" s="1">
        <v>3</v>
      </c>
      <c r="CJ30" s="4"/>
      <c r="CK30" s="4"/>
      <c r="CL30" s="4"/>
      <c r="CM30" s="4"/>
      <c r="CN30" s="4"/>
      <c r="CO30" s="4"/>
      <c r="CP30" s="4"/>
      <c r="CQ30" s="4"/>
      <c r="CR30" s="4"/>
      <c r="CS30" s="4"/>
    </row>
    <row r="31" spans="1:97" ht="15.75" customHeight="1" x14ac:dyDescent="0.25">
      <c r="A31" s="1"/>
      <c r="C31" s="1" t="s">
        <v>71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4"/>
      <c r="CK31" s="4"/>
      <c r="CL31" s="4"/>
      <c r="CM31" s="4"/>
      <c r="CN31" s="4"/>
      <c r="CO31" s="4"/>
      <c r="CP31" s="4"/>
      <c r="CQ31" s="4"/>
      <c r="CR31" s="4"/>
      <c r="CS31" s="4"/>
    </row>
    <row r="32" spans="1:97" ht="15.75" customHeight="1" x14ac:dyDescent="0.25">
      <c r="A32" s="1"/>
      <c r="C32" s="1" t="s">
        <v>72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4"/>
      <c r="CK32" s="4"/>
      <c r="CL32" s="4"/>
      <c r="CM32" s="4"/>
      <c r="CN32" s="4"/>
      <c r="CO32" s="4"/>
      <c r="CP32" s="4"/>
      <c r="CQ32" s="4"/>
      <c r="CR32" s="4"/>
      <c r="CS32" s="4"/>
    </row>
    <row r="33" spans="1:97" ht="15.75" customHeight="1" x14ac:dyDescent="0.25">
      <c r="A33" s="1"/>
      <c r="B33" s="6" t="s">
        <v>80</v>
      </c>
      <c r="C33" s="107" t="s">
        <v>70</v>
      </c>
      <c r="D33" s="1"/>
      <c r="E33" s="1"/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3</v>
      </c>
      <c r="Q33" s="1">
        <v>3</v>
      </c>
      <c r="R33" s="1">
        <v>3</v>
      </c>
      <c r="S33" s="1">
        <v>3</v>
      </c>
      <c r="T33" s="1">
        <v>3</v>
      </c>
      <c r="U33" s="1">
        <v>3</v>
      </c>
      <c r="V33" s="1">
        <v>3</v>
      </c>
      <c r="W33" s="1">
        <v>3</v>
      </c>
      <c r="X33" s="1">
        <v>3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5</v>
      </c>
      <c r="AO33" s="1">
        <v>5</v>
      </c>
      <c r="AP33" s="1">
        <v>5</v>
      </c>
      <c r="AQ33" s="1">
        <v>5</v>
      </c>
      <c r="AR33" s="1">
        <v>5</v>
      </c>
      <c r="AS33" s="1">
        <v>5</v>
      </c>
      <c r="AT33" s="1">
        <v>5</v>
      </c>
      <c r="AU33" s="1">
        <v>5</v>
      </c>
      <c r="AV33" s="1">
        <v>5</v>
      </c>
      <c r="AW33" s="1">
        <v>5</v>
      </c>
      <c r="AX33" s="1">
        <v>5</v>
      </c>
      <c r="AY33" s="1">
        <v>5</v>
      </c>
      <c r="AZ33" s="1">
        <v>5</v>
      </c>
      <c r="BA33" s="1">
        <v>5</v>
      </c>
      <c r="BB33" s="1">
        <v>5</v>
      </c>
      <c r="BC33" s="1">
        <v>5</v>
      </c>
      <c r="BD33" s="1">
        <v>5</v>
      </c>
      <c r="BE33" s="1">
        <v>5</v>
      </c>
      <c r="BF33" s="1">
        <v>5</v>
      </c>
      <c r="BG33" s="1">
        <v>5</v>
      </c>
      <c r="BH33" s="1">
        <v>5</v>
      </c>
      <c r="BI33" s="1">
        <v>5</v>
      </c>
      <c r="BJ33" s="1">
        <v>5</v>
      </c>
      <c r="BK33" s="1">
        <v>5</v>
      </c>
      <c r="BL33" s="1">
        <v>6</v>
      </c>
      <c r="BM33" s="1">
        <v>6</v>
      </c>
      <c r="BN33" s="1">
        <v>6</v>
      </c>
      <c r="BO33" s="1">
        <v>6</v>
      </c>
      <c r="BP33" s="1">
        <v>6</v>
      </c>
      <c r="BQ33" s="1">
        <v>6</v>
      </c>
      <c r="BR33" s="1">
        <v>6</v>
      </c>
      <c r="BS33" s="1">
        <v>6</v>
      </c>
      <c r="BT33" s="1">
        <v>6</v>
      </c>
      <c r="BU33" s="1">
        <v>6</v>
      </c>
      <c r="BV33" s="1">
        <v>6</v>
      </c>
      <c r="BW33" s="1">
        <v>6</v>
      </c>
      <c r="BX33" s="1">
        <v>7</v>
      </c>
      <c r="BY33" s="1">
        <v>7</v>
      </c>
      <c r="BZ33" s="1">
        <v>7</v>
      </c>
      <c r="CA33" s="1">
        <v>7</v>
      </c>
      <c r="CB33" s="1">
        <v>7</v>
      </c>
      <c r="CC33" s="1">
        <v>7</v>
      </c>
      <c r="CD33" s="1">
        <v>7</v>
      </c>
      <c r="CE33" s="1">
        <v>7</v>
      </c>
      <c r="CF33" s="1">
        <v>7</v>
      </c>
      <c r="CG33" s="1">
        <v>7</v>
      </c>
      <c r="CH33" s="1">
        <v>7</v>
      </c>
      <c r="CI33" s="1">
        <v>7</v>
      </c>
      <c r="CJ33" s="4"/>
      <c r="CK33" s="4"/>
      <c r="CL33" s="4"/>
      <c r="CM33" s="4"/>
      <c r="CN33" s="4"/>
      <c r="CO33" s="4"/>
      <c r="CP33" s="4"/>
      <c r="CQ33" s="4"/>
      <c r="CR33" s="4"/>
      <c r="CS33" s="4"/>
    </row>
    <row r="34" spans="1:97" ht="15.75" customHeight="1" x14ac:dyDescent="0.25">
      <c r="A34" s="1"/>
      <c r="C34" s="11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4"/>
      <c r="CK34" s="4"/>
      <c r="CL34" s="4"/>
      <c r="CM34" s="4"/>
      <c r="CN34" s="4"/>
      <c r="CO34" s="4"/>
      <c r="CP34" s="4"/>
      <c r="CQ34" s="4"/>
      <c r="CR34" s="4"/>
      <c r="CS34" s="4"/>
    </row>
    <row r="35" spans="1:97" ht="15.75" customHeight="1" x14ac:dyDescent="0.25">
      <c r="A35" s="1"/>
      <c r="C35" s="1" t="s">
        <v>72</v>
      </c>
      <c r="D35" s="107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9"/>
      <c r="P35" s="107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9"/>
      <c r="AB35" s="107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9"/>
      <c r="AN35" s="107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9"/>
      <c r="AZ35" s="107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9"/>
      <c r="BL35" s="107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9"/>
      <c r="BX35" s="107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9"/>
      <c r="CJ35" s="114"/>
      <c r="CK35" s="93"/>
      <c r="CL35" s="93"/>
      <c r="CM35" s="93"/>
      <c r="CN35" s="93"/>
      <c r="CO35" s="93"/>
      <c r="CP35" s="93"/>
      <c r="CQ35" s="93"/>
      <c r="CR35" s="93"/>
      <c r="CS35" s="93"/>
    </row>
    <row r="36" spans="1:97" ht="15.75" customHeight="1" x14ac:dyDescent="0.25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4"/>
      <c r="CK36" s="4"/>
      <c r="CL36" s="4"/>
      <c r="CM36" s="4"/>
      <c r="CN36" s="4"/>
      <c r="CO36" s="4"/>
      <c r="CP36" s="4"/>
      <c r="CQ36" s="4"/>
      <c r="CR36" s="4"/>
      <c r="CS36" s="4"/>
    </row>
    <row r="37" spans="1:97" ht="15.75" customHeight="1" x14ac:dyDescent="0.25">
      <c r="A37" s="1"/>
      <c r="C37" s="1"/>
      <c r="D37" s="107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9"/>
      <c r="P37" s="107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9"/>
      <c r="AB37" s="107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9"/>
      <c r="AN37" s="107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9"/>
      <c r="AZ37" s="107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9"/>
      <c r="BL37" s="107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9"/>
      <c r="BX37" s="107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9"/>
      <c r="CJ37" s="4"/>
      <c r="CK37" s="4"/>
      <c r="CL37" s="4"/>
      <c r="CM37" s="4"/>
      <c r="CN37" s="4"/>
      <c r="CO37" s="4"/>
      <c r="CP37" s="4"/>
      <c r="CQ37" s="4"/>
      <c r="CR37" s="4"/>
      <c r="CS37" s="4"/>
    </row>
    <row r="38" spans="1:97" ht="15.75" customHeight="1" x14ac:dyDescent="0.25">
      <c r="A38" s="7"/>
      <c r="C38" s="8" t="s">
        <v>70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ht="15.75" customHeight="1" x14ac:dyDescent="0.25">
      <c r="A39" s="7"/>
      <c r="B39" s="1"/>
      <c r="C39" s="11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4"/>
      <c r="CK39" s="4"/>
      <c r="CL39" s="4"/>
      <c r="CM39" s="4"/>
      <c r="CN39" s="4"/>
      <c r="CO39" s="4"/>
      <c r="CP39" s="4"/>
      <c r="CQ39" s="4"/>
      <c r="CR39" s="4"/>
      <c r="CS39" s="4"/>
    </row>
    <row r="40" spans="1:97" ht="15.75" customHeight="1" x14ac:dyDescent="0.25">
      <c r="A40" s="7"/>
      <c r="B40" s="1"/>
      <c r="C40" s="112"/>
      <c r="D40" s="11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1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1">
        <f>SUM(AB33:AM34)</f>
        <v>48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1">
        <f>SUM(AN33:AY34)</f>
        <v>60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1">
        <f>SUM(AZ33:BK34)</f>
        <v>60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1">
        <f>SUM(BL33:BW34)</f>
        <v>72</v>
      </c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1">
        <f>SUM(BX33:CI34)</f>
        <v>84</v>
      </c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4"/>
    </row>
    <row r="41" spans="1:97" ht="15.75" customHeight="1" x14ac:dyDescent="0.25">
      <c r="A41" s="7"/>
      <c r="B41" s="1"/>
      <c r="C41" s="1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4"/>
      <c r="CK41" s="4"/>
      <c r="CL41" s="4"/>
      <c r="CM41" s="4"/>
      <c r="CN41" s="4"/>
      <c r="CO41" s="4"/>
      <c r="CP41" s="4"/>
      <c r="CQ41" s="4"/>
      <c r="CR41" s="4"/>
      <c r="CS41" s="4"/>
    </row>
    <row r="42" spans="1:97" ht="15.75" customHeight="1" x14ac:dyDescent="0.25">
      <c r="A42" s="7"/>
      <c r="B42" s="1"/>
      <c r="C42" s="111"/>
      <c r="D42" s="11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1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1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1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1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1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1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4"/>
      <c r="CK42" s="4"/>
      <c r="CL42" s="4"/>
      <c r="CM42" s="4"/>
      <c r="CN42" s="4"/>
      <c r="CO42" s="4"/>
      <c r="CP42" s="4"/>
      <c r="CQ42" s="4"/>
      <c r="CR42" s="4"/>
      <c r="CS42" s="4"/>
    </row>
    <row r="43" spans="1:97" ht="15.75" customHeight="1" x14ac:dyDescent="0.25">
      <c r="A43" s="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4"/>
      <c r="CK43" s="4"/>
      <c r="CL43" s="4"/>
      <c r="CM43" s="4"/>
      <c r="CN43" s="4"/>
      <c r="CO43" s="4"/>
      <c r="CP43" s="4"/>
      <c r="CQ43" s="4"/>
      <c r="CR43" s="4"/>
      <c r="CS43" s="4"/>
    </row>
    <row r="44" spans="1:97" ht="15.75" customHeight="1" x14ac:dyDescent="0.25">
      <c r="A44" s="7"/>
      <c r="B44" s="1"/>
      <c r="C44" s="13" t="s">
        <v>81</v>
      </c>
      <c r="D44" s="107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9"/>
      <c r="P44" s="107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9"/>
      <c r="AB44" s="107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9"/>
      <c r="AN44" s="107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9"/>
      <c r="AZ44" s="107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9"/>
      <c r="BL44" s="107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9"/>
      <c r="BX44" s="107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9"/>
      <c r="CJ44" s="4"/>
      <c r="CK44" s="4"/>
      <c r="CL44" s="4"/>
      <c r="CM44" s="4"/>
      <c r="CN44" s="4"/>
      <c r="CO44" s="4"/>
      <c r="CP44" s="4"/>
      <c r="CQ44" s="4"/>
      <c r="CR44" s="4"/>
      <c r="CS44" s="4"/>
    </row>
    <row r="45" spans="1:97" ht="15.75" customHeight="1" x14ac:dyDescent="0.25">
      <c r="A45" s="7"/>
      <c r="B45" s="1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4"/>
      <c r="CK45" s="4"/>
      <c r="CL45" s="4"/>
      <c r="CM45" s="4"/>
      <c r="CN45" s="4"/>
      <c r="CO45" s="4"/>
      <c r="CP45" s="4"/>
      <c r="CQ45" s="4"/>
      <c r="CR45" s="4"/>
      <c r="CS45" s="4"/>
    </row>
    <row r="46" spans="1:97" ht="15.75" customHeight="1" x14ac:dyDescent="0.25">
      <c r="A46" s="7"/>
      <c r="B46" s="1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4"/>
      <c r="CK46" s="4"/>
      <c r="CL46" s="4"/>
      <c r="CM46" s="4"/>
      <c r="CN46" s="4"/>
      <c r="CO46" s="4"/>
      <c r="CP46" s="4"/>
      <c r="CQ46" s="4"/>
      <c r="CR46" s="4"/>
      <c r="CS46" s="4"/>
    </row>
    <row r="47" spans="1:97" ht="15.75" customHeight="1" x14ac:dyDescent="0.25">
      <c r="A47" s="7"/>
      <c r="B47" s="1"/>
      <c r="C47" s="1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4"/>
      <c r="CK47" s="4"/>
      <c r="CL47" s="4"/>
      <c r="CM47" s="4"/>
      <c r="CN47" s="4"/>
      <c r="CO47" s="4"/>
      <c r="CP47" s="4"/>
      <c r="CQ47" s="4"/>
      <c r="CR47" s="4"/>
      <c r="CS47" s="4"/>
    </row>
    <row r="48" spans="1:97" ht="15.75" customHeight="1" x14ac:dyDescent="0.25">
      <c r="A48" s="7"/>
      <c r="B48" s="1"/>
      <c r="C48" s="1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4"/>
      <c r="CK48" s="4"/>
      <c r="CL48" s="4"/>
      <c r="CM48" s="4"/>
      <c r="CN48" s="4"/>
      <c r="CO48" s="4"/>
      <c r="CP48" s="4"/>
      <c r="CQ48" s="4"/>
      <c r="CR48" s="4"/>
      <c r="CS48" s="4"/>
    </row>
    <row r="49" spans="1:97" ht="15.75" customHeight="1" x14ac:dyDescent="0.25">
      <c r="A49" s="7"/>
      <c r="B49" s="1"/>
      <c r="C49" s="13"/>
      <c r="D49" s="1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/>
      <c r="P49" s="1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6"/>
      <c r="AB49" s="1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6"/>
      <c r="AN49" s="1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6"/>
      <c r="AZ49" s="1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6"/>
      <c r="BL49" s="1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6"/>
      <c r="BX49" s="1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6"/>
      <c r="CJ49" s="4"/>
      <c r="CK49" s="4"/>
      <c r="CL49" s="4"/>
      <c r="CM49" s="4"/>
      <c r="CN49" s="4"/>
      <c r="CO49" s="4"/>
      <c r="CP49" s="4"/>
      <c r="CQ49" s="4"/>
      <c r="CR49" s="4"/>
      <c r="CS49" s="4"/>
    </row>
    <row r="50" spans="1:97" ht="15.75" customHeight="1" x14ac:dyDescent="0.25">
      <c r="A50" s="7"/>
      <c r="B50" s="1"/>
      <c r="C50" s="13" t="s">
        <v>82</v>
      </c>
      <c r="D50" s="107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9"/>
      <c r="P50" s="107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9"/>
      <c r="AB50" s="107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9"/>
      <c r="AN50" s="107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9"/>
      <c r="AZ50" s="107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9"/>
      <c r="BL50" s="107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9"/>
      <c r="BX50" s="107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9"/>
      <c r="CJ50" s="4"/>
      <c r="CK50" s="4"/>
      <c r="CL50" s="4"/>
      <c r="CM50" s="4"/>
      <c r="CN50" s="4"/>
      <c r="CO50" s="4"/>
      <c r="CP50" s="4"/>
      <c r="CQ50" s="4"/>
      <c r="CR50" s="4"/>
      <c r="CS50" s="4"/>
    </row>
    <row r="51" spans="1:97" ht="15.75" customHeight="1" x14ac:dyDescent="0.25">
      <c r="A51" s="7"/>
      <c r="B51" s="1"/>
      <c r="C51" s="13" t="s">
        <v>83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4"/>
      <c r="CK51" s="4"/>
      <c r="CL51" s="4"/>
      <c r="CM51" s="4"/>
      <c r="CN51" s="4"/>
      <c r="CO51" s="4"/>
      <c r="CP51" s="4"/>
      <c r="CQ51" s="4"/>
      <c r="CR51" s="4"/>
      <c r="CS51" s="4"/>
    </row>
    <row r="52" spans="1:97" ht="15.75" customHeight="1" x14ac:dyDescent="0.25">
      <c r="A52" s="7"/>
      <c r="B52" s="1"/>
      <c r="C52" s="14" t="s">
        <v>84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4"/>
      <c r="CK52" s="4"/>
      <c r="CL52" s="4"/>
      <c r="CM52" s="4"/>
      <c r="CN52" s="4"/>
      <c r="CO52" s="4"/>
      <c r="CP52" s="4"/>
      <c r="CQ52" s="4"/>
      <c r="CR52" s="4"/>
      <c r="CS52" s="4"/>
    </row>
    <row r="53" spans="1:97" ht="15.75" customHeight="1" x14ac:dyDescent="0.25">
      <c r="A53" s="7"/>
      <c r="B53" s="1"/>
      <c r="C53" s="14" t="s">
        <v>85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4"/>
      <c r="CK53" s="4"/>
      <c r="CL53" s="4"/>
      <c r="CM53" s="4"/>
      <c r="CN53" s="4"/>
      <c r="CO53" s="4"/>
      <c r="CP53" s="4"/>
      <c r="CQ53" s="4"/>
      <c r="CR53" s="4"/>
      <c r="CS53" s="4"/>
    </row>
    <row r="54" spans="1:97" ht="15.75" customHeight="1" x14ac:dyDescent="0.25">
      <c r="A54" s="7"/>
      <c r="B54" s="1"/>
      <c r="C54" s="13" t="s">
        <v>86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4"/>
      <c r="CK54" s="4"/>
      <c r="CL54" s="4"/>
      <c r="CM54" s="4"/>
      <c r="CN54" s="4"/>
      <c r="CO54" s="4"/>
      <c r="CP54" s="4"/>
      <c r="CQ54" s="4"/>
      <c r="CR54" s="4"/>
      <c r="CS54" s="4"/>
    </row>
    <row r="55" spans="1:97" ht="15.75" customHeight="1" x14ac:dyDescent="0.25">
      <c r="A55" s="7"/>
      <c r="B55" s="7"/>
      <c r="C55" s="7"/>
      <c r="D55" s="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/>
      <c r="P55" s="7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6"/>
      <c r="AB55" s="7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6"/>
      <c r="AN55" s="7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6"/>
      <c r="AZ55" s="7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6"/>
      <c r="BL55" s="7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6"/>
      <c r="BX55" s="7">
        <f>SUM(BX49:CI49)</f>
        <v>0</v>
      </c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6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4"/>
      <c r="CK56" s="4"/>
      <c r="CL56" s="4"/>
      <c r="CM56" s="4"/>
      <c r="CN56" s="4"/>
      <c r="CO56" s="4"/>
      <c r="CP56" s="4"/>
      <c r="CQ56" s="4"/>
      <c r="CR56" s="4"/>
      <c r="CS56" s="4"/>
    </row>
    <row r="57" spans="1:9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</row>
    <row r="58" spans="1:9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</row>
    <row r="59" spans="1:97" ht="15.75" customHeight="1" x14ac:dyDescent="0.25">
      <c r="A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</row>
    <row r="60" spans="1:97" ht="15.75" customHeight="1" x14ac:dyDescent="0.25">
      <c r="A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</row>
    <row r="61" spans="1:97" ht="15.75" customHeight="1" x14ac:dyDescent="0.25">
      <c r="A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</row>
    <row r="62" spans="1:97" ht="15.75" customHeight="1" x14ac:dyDescent="0.25">
      <c r="A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</row>
    <row r="63" spans="1:97" ht="15.75" customHeight="1" x14ac:dyDescent="0.25">
      <c r="A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</row>
    <row r="64" spans="1:97" ht="15.75" customHeight="1" x14ac:dyDescent="0.25">
      <c r="A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</row>
    <row r="65" spans="1:97" ht="15.75" customHeight="1" x14ac:dyDescent="0.25">
      <c r="A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</row>
    <row r="66" spans="1:97" ht="15.75" customHeight="1" x14ac:dyDescent="0.25">
      <c r="A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</row>
    <row r="67" spans="1:97" ht="15.75" customHeight="1" x14ac:dyDescent="0.25">
      <c r="A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</row>
    <row r="68" spans="1:97" ht="15.75" customHeight="1" x14ac:dyDescent="0.25">
      <c r="A68" s="4"/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</row>
    <row r="69" spans="1:97" ht="15.75" customHeight="1" x14ac:dyDescent="0.25">
      <c r="A69" s="4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</row>
    <row r="70" spans="1:97" ht="15.75" customHeight="1" x14ac:dyDescent="0.25">
      <c r="A70" s="4"/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</row>
    <row r="71" spans="1:97" ht="15.75" customHeight="1" x14ac:dyDescent="0.25">
      <c r="A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</row>
    <row r="72" spans="1:97" ht="15.75" customHeight="1" x14ac:dyDescent="0.25">
      <c r="A72" s="4"/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</row>
    <row r="73" spans="1:97" ht="15.75" customHeight="1" x14ac:dyDescent="0.25">
      <c r="A73" s="4"/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</row>
    <row r="74" spans="1:97" ht="15.75" customHeight="1" x14ac:dyDescent="0.25">
      <c r="A74" s="4"/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</row>
    <row r="75" spans="1:97" ht="15.75" customHeight="1" x14ac:dyDescent="0.25">
      <c r="A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</row>
    <row r="76" spans="1:97" ht="15.75" customHeight="1" x14ac:dyDescent="0.25">
      <c r="A76" s="4"/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</row>
    <row r="77" spans="1:97" ht="15.75" customHeight="1" x14ac:dyDescent="0.25">
      <c r="A77" s="4"/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</row>
    <row r="78" spans="1:97" ht="15.75" customHeight="1" x14ac:dyDescent="0.25">
      <c r="A78" s="4"/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</row>
    <row r="79" spans="1:97" ht="15.75" customHeight="1" x14ac:dyDescent="0.25">
      <c r="A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</row>
    <row r="80" spans="1:97" ht="15.75" customHeight="1" x14ac:dyDescent="0.25">
      <c r="A80" s="4"/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</row>
    <row r="81" spans="1:97" ht="15.75" customHeight="1" x14ac:dyDescent="0.25">
      <c r="A81" s="4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</row>
    <row r="82" spans="1:97" ht="15.75" customHeight="1" x14ac:dyDescent="0.25">
      <c r="A82" s="4"/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</row>
    <row r="83" spans="1:97" ht="15.75" customHeight="1" x14ac:dyDescent="0.25">
      <c r="A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</row>
    <row r="84" spans="1:97" ht="15.75" customHeight="1" x14ac:dyDescent="0.25">
      <c r="A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</row>
    <row r="85" spans="1:97" ht="15.75" customHeight="1" x14ac:dyDescent="0.25">
      <c r="A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</row>
    <row r="86" spans="1:97" ht="15.75" customHeight="1" x14ac:dyDescent="0.25">
      <c r="A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</row>
    <row r="87" spans="1:97" ht="15.75" customHeight="1" x14ac:dyDescent="0.25">
      <c r="A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</row>
    <row r="88" spans="1:97" ht="15.75" customHeight="1" x14ac:dyDescent="0.25">
      <c r="A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</row>
    <row r="89" spans="1:97" ht="15.75" customHeight="1" x14ac:dyDescent="0.25">
      <c r="A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</row>
    <row r="90" spans="1:97" ht="15.75" customHeight="1" x14ac:dyDescent="0.25">
      <c r="A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</row>
    <row r="91" spans="1:97" ht="15.75" customHeight="1" x14ac:dyDescent="0.25">
      <c r="A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</row>
    <row r="92" spans="1:97" ht="15.75" customHeight="1" x14ac:dyDescent="0.25">
      <c r="A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</row>
    <row r="93" spans="1:9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</row>
    <row r="94" spans="1:9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</row>
    <row r="95" spans="1:9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</row>
    <row r="96" spans="1:9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</row>
    <row r="97" spans="1:9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</row>
    <row r="98" spans="1:9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</row>
    <row r="99" spans="1:9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</row>
    <row r="100" spans="1:9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</row>
    <row r="101" spans="1:9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</row>
    <row r="102" spans="1:9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</row>
    <row r="103" spans="1:9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</row>
    <row r="104" spans="1:9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</row>
    <row r="105" spans="1:9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</row>
    <row r="106" spans="1:9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</row>
    <row r="107" spans="1:9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</row>
    <row r="108" spans="1:9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</row>
    <row r="109" spans="1:9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</row>
    <row r="110" spans="1:9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</row>
    <row r="111" spans="1:9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</row>
    <row r="112" spans="1:9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</row>
    <row r="113" spans="1:9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</row>
    <row r="114" spans="1:9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</row>
    <row r="115" spans="1:9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</row>
    <row r="116" spans="1:9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</row>
    <row r="117" spans="1:9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</row>
    <row r="118" spans="1:9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</row>
    <row r="119" spans="1:9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</row>
    <row r="120" spans="1:9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</row>
    <row r="121" spans="1:9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</row>
    <row r="122" spans="1:9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</row>
    <row r="123" spans="1:9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</row>
    <row r="124" spans="1:9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</row>
    <row r="125" spans="1:9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</row>
    <row r="126" spans="1:9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</row>
    <row r="127" spans="1:9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</row>
    <row r="128" spans="1:9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</row>
    <row r="129" spans="1:9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</row>
    <row r="130" spans="1:9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</row>
    <row r="131" spans="1:9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</row>
    <row r="132" spans="1:9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</row>
    <row r="133" spans="1:9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</row>
    <row r="134" spans="1:9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</row>
    <row r="135" spans="1:9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</row>
    <row r="136" spans="1:9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</row>
    <row r="137" spans="1:9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</row>
    <row r="138" spans="1:9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</row>
    <row r="139" spans="1:9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</row>
    <row r="140" spans="1:9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</row>
    <row r="141" spans="1:9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</row>
    <row r="142" spans="1:9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</row>
    <row r="143" spans="1:9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</row>
    <row r="144" spans="1:9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</row>
    <row r="145" spans="1:9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</row>
    <row r="146" spans="1:9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</row>
    <row r="147" spans="1:9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</row>
    <row r="148" spans="1:9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</row>
    <row r="149" spans="1:9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</row>
    <row r="150" spans="1:9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</row>
    <row r="151" spans="1:9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</row>
    <row r="152" spans="1:9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</row>
    <row r="153" spans="1:9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</row>
    <row r="154" spans="1:9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</row>
    <row r="155" spans="1:9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</row>
    <row r="156" spans="1:9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</row>
    <row r="157" spans="1:9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</row>
    <row r="158" spans="1:9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</row>
    <row r="159" spans="1:9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</row>
    <row r="160" spans="1:9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</row>
    <row r="161" spans="1:9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</row>
    <row r="162" spans="1:9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</row>
    <row r="163" spans="1:9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</row>
    <row r="164" spans="1:9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</row>
    <row r="165" spans="1:9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</row>
    <row r="166" spans="1:9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</row>
    <row r="167" spans="1:9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</row>
    <row r="168" spans="1:9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</row>
    <row r="169" spans="1:9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</row>
    <row r="170" spans="1:9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</row>
    <row r="171" spans="1:9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</row>
    <row r="172" spans="1:9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</row>
    <row r="173" spans="1:9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</row>
    <row r="174" spans="1:9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</row>
    <row r="175" spans="1:9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</row>
    <row r="176" spans="1:9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</row>
    <row r="177" spans="1:9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</row>
    <row r="178" spans="1:9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</row>
    <row r="179" spans="1:9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</row>
    <row r="180" spans="1:9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</row>
    <row r="181" spans="1:9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</row>
    <row r="182" spans="1:9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</row>
    <row r="183" spans="1:9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</row>
    <row r="184" spans="1:9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</row>
    <row r="185" spans="1:9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</row>
    <row r="186" spans="1:9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</row>
    <row r="187" spans="1:9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</row>
    <row r="188" spans="1:9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</row>
    <row r="189" spans="1:9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</row>
    <row r="190" spans="1:9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</row>
    <row r="191" spans="1:9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</row>
    <row r="192" spans="1:9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</row>
    <row r="193" spans="1:9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</row>
    <row r="194" spans="1:9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</row>
    <row r="195" spans="1:9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</row>
    <row r="196" spans="1:9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</row>
    <row r="197" spans="1:9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</row>
    <row r="198" spans="1:9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</row>
    <row r="199" spans="1:9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</row>
    <row r="200" spans="1:9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</row>
    <row r="201" spans="1:9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</row>
    <row r="202" spans="1:9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</row>
    <row r="203" spans="1:9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</row>
    <row r="204" spans="1:9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</row>
    <row r="205" spans="1:9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</row>
    <row r="206" spans="1:9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</row>
    <row r="207" spans="1:9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</row>
    <row r="208" spans="1:9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</row>
    <row r="209" spans="1:9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</row>
    <row r="210" spans="1:9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</row>
    <row r="211" spans="1:9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</row>
    <row r="212" spans="1:9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</row>
    <row r="213" spans="1:9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</row>
    <row r="214" spans="1:9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</row>
    <row r="215" spans="1:9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</row>
    <row r="216" spans="1:9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</row>
    <row r="217" spans="1:9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</row>
    <row r="218" spans="1:9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</row>
    <row r="219" spans="1:9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</row>
    <row r="220" spans="1:9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</row>
    <row r="221" spans="1:9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</row>
    <row r="222" spans="1:9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</row>
    <row r="223" spans="1:9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</row>
    <row r="224" spans="1:9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</row>
    <row r="225" spans="1:9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</row>
    <row r="226" spans="1:9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</row>
    <row r="227" spans="1:9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</row>
    <row r="228" spans="1:9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</row>
    <row r="229" spans="1:9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</row>
    <row r="230" spans="1:9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</row>
    <row r="231" spans="1:9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</row>
    <row r="232" spans="1:9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</row>
    <row r="233" spans="1:9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</row>
    <row r="234" spans="1:9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</row>
    <row r="235" spans="1:9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</row>
    <row r="236" spans="1:9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</row>
    <row r="237" spans="1:9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</row>
    <row r="238" spans="1:9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</row>
    <row r="239" spans="1:9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</row>
    <row r="240" spans="1:9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</row>
    <row r="241" spans="1:9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</row>
    <row r="242" spans="1:9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</row>
    <row r="243" spans="1:9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</row>
    <row r="244" spans="1:9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</row>
    <row r="245" spans="1:9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</row>
    <row r="246" spans="1:9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</row>
    <row r="247" spans="1:9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</row>
    <row r="248" spans="1:9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</row>
    <row r="249" spans="1:9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</row>
    <row r="250" spans="1:9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</row>
    <row r="251" spans="1:9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</row>
    <row r="252" spans="1:9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</row>
    <row r="253" spans="1:9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</row>
    <row r="254" spans="1:9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</row>
    <row r="255" spans="1:9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</row>
    <row r="256" spans="1:97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mergeCells count="39">
    <mergeCell ref="CJ1:CS1"/>
    <mergeCell ref="D1:O1"/>
    <mergeCell ref="P1:AA1"/>
    <mergeCell ref="AZ1:BK1"/>
    <mergeCell ref="CJ35:CS35"/>
    <mergeCell ref="BL1:BW1"/>
    <mergeCell ref="AB35:AM35"/>
    <mergeCell ref="C39:C42"/>
    <mergeCell ref="BX50:CI50"/>
    <mergeCell ref="AB37:AM37"/>
    <mergeCell ref="AN37:AY37"/>
    <mergeCell ref="D50:O50"/>
    <mergeCell ref="BX37:CI37"/>
    <mergeCell ref="D44:O44"/>
    <mergeCell ref="AZ37:BK37"/>
    <mergeCell ref="P50:AA50"/>
    <mergeCell ref="P44:AA44"/>
    <mergeCell ref="AZ44:BK44"/>
    <mergeCell ref="BL44:BW44"/>
    <mergeCell ref="AB50:AM50"/>
    <mergeCell ref="D37:O37"/>
    <mergeCell ref="AZ35:BK35"/>
    <mergeCell ref="AZ50:BK50"/>
    <mergeCell ref="P37:AA37"/>
    <mergeCell ref="BL35:BW35"/>
    <mergeCell ref="BL37:BW37"/>
    <mergeCell ref="BL50:BW50"/>
    <mergeCell ref="D35:O35"/>
    <mergeCell ref="P35:AA35"/>
    <mergeCell ref="AB44:AM44"/>
    <mergeCell ref="BX1:CI1"/>
    <mergeCell ref="BX44:CI44"/>
    <mergeCell ref="AN50:AY50"/>
    <mergeCell ref="AN44:AY44"/>
    <mergeCell ref="AN35:AY35"/>
    <mergeCell ref="AB1:AM1"/>
    <mergeCell ref="BX35:CI35"/>
    <mergeCell ref="C33:C34"/>
    <mergeCell ref="AN1:A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.75" x14ac:dyDescent="0.25"/>
  <sheetData>
    <row r="1" spans="1:6" x14ac:dyDescent="0.25">
      <c r="A1" s="20" t="s">
        <v>87</v>
      </c>
      <c r="B1" s="20" t="s">
        <v>88</v>
      </c>
      <c r="C1" s="20" t="s">
        <v>89</v>
      </c>
      <c r="D1" s="20" t="s">
        <v>90</v>
      </c>
      <c r="E1" s="20" t="s">
        <v>91</v>
      </c>
      <c r="F1" s="20" t="s">
        <v>92</v>
      </c>
    </row>
    <row r="2" spans="1:6" x14ac:dyDescent="0.25">
      <c r="A2">
        <v>2026</v>
      </c>
      <c r="B2" t="s">
        <v>93</v>
      </c>
      <c r="C2" t="s">
        <v>94</v>
      </c>
      <c r="D2">
        <v>99</v>
      </c>
      <c r="E2">
        <v>299</v>
      </c>
      <c r="F2">
        <v>999</v>
      </c>
    </row>
    <row r="3" spans="1:6" x14ac:dyDescent="0.25">
      <c r="A3">
        <v>2026</v>
      </c>
      <c r="B3" t="s">
        <v>93</v>
      </c>
      <c r="C3" t="s">
        <v>95</v>
      </c>
      <c r="D3">
        <v>99</v>
      </c>
      <c r="E3">
        <v>299</v>
      </c>
      <c r="F3">
        <v>999</v>
      </c>
    </row>
    <row r="4" spans="1:6" x14ac:dyDescent="0.25">
      <c r="A4">
        <v>2026</v>
      </c>
      <c r="B4" t="s">
        <v>93</v>
      </c>
      <c r="C4" t="s">
        <v>96</v>
      </c>
      <c r="D4">
        <v>99</v>
      </c>
      <c r="E4">
        <v>299</v>
      </c>
      <c r="F4">
        <v>999</v>
      </c>
    </row>
    <row r="5" spans="1:6" x14ac:dyDescent="0.25">
      <c r="A5">
        <v>2026</v>
      </c>
      <c r="B5" t="s">
        <v>97</v>
      </c>
      <c r="C5" t="s">
        <v>98</v>
      </c>
      <c r="D5">
        <v>99</v>
      </c>
      <c r="E5">
        <v>299</v>
      </c>
      <c r="F5">
        <v>999</v>
      </c>
    </row>
    <row r="6" spans="1:6" x14ac:dyDescent="0.25">
      <c r="A6">
        <v>2026</v>
      </c>
      <c r="B6" t="s">
        <v>97</v>
      </c>
      <c r="C6" t="s">
        <v>99</v>
      </c>
      <c r="D6">
        <v>99</v>
      </c>
      <c r="E6">
        <v>299</v>
      </c>
      <c r="F6">
        <v>999</v>
      </c>
    </row>
    <row r="7" spans="1:6" x14ac:dyDescent="0.25">
      <c r="A7">
        <v>2026</v>
      </c>
      <c r="B7" t="s">
        <v>97</v>
      </c>
      <c r="C7" t="s">
        <v>100</v>
      </c>
      <c r="D7">
        <v>99</v>
      </c>
      <c r="E7">
        <v>299</v>
      </c>
      <c r="F7">
        <v>999</v>
      </c>
    </row>
    <row r="8" spans="1:6" x14ac:dyDescent="0.25">
      <c r="A8">
        <v>2026</v>
      </c>
      <c r="B8" t="s">
        <v>101</v>
      </c>
      <c r="C8" t="s">
        <v>102</v>
      </c>
      <c r="D8">
        <v>99</v>
      </c>
      <c r="E8">
        <v>299</v>
      </c>
      <c r="F8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 2026-27 Projection</vt:lpstr>
      <vt:lpstr>Sheet1</vt:lpstr>
      <vt:lpstr>2026 Crop Season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Yogesh Suryawanshi</cp:lastModifiedBy>
  <dcterms:created xsi:type="dcterms:W3CDTF">2026-06-02T11:52:43Z</dcterms:created>
  <dcterms:modified xsi:type="dcterms:W3CDTF">2026-06-07T11:16:25Z</dcterms:modified>
</cp:coreProperties>
</file>